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3e4d8ced8e4a1f" /></Relationships>
</file>

<file path=xl/workbook.xml><?xml version="1.0" encoding="utf-8"?>
<x:workbook xmlns:x="http://schemas.openxmlformats.org/spreadsheetml/2006/main">
  <x:sheets>
    <x:sheet xmlns:r="http://schemas.openxmlformats.org/officeDocument/2006/relationships" name="总览" sheetId="1" r:id="Rad16d9a4b0be423b"/>
    <x:sheet xmlns:r="http://schemas.openxmlformats.org/officeDocument/2006/relationships" name="赛道决策" sheetId="2" r:id="R6ce0a1aaa4fe4fc8"/>
    <x:sheet xmlns:r="http://schemas.openxmlformats.org/officeDocument/2006/relationships" name="来源 Sources" sheetId="3" r:id="Re335ffe727e844ab"/>
    <x:sheet xmlns:r="http://schemas.openxmlformats.org/officeDocument/2006/relationships" name="事实 Claims" sheetId="4" r:id="R756d8d53027c4de3"/>
    <x:sheet xmlns:r="http://schemas.openxmlformats.org/officeDocument/2006/relationships" name="口径 Conflicts" sheetId="5" r:id="R626e8bea35af456c"/>
    <x:sheet xmlns:r="http://schemas.openxmlformats.org/officeDocument/2006/relationships" name="版本 VersionTree" sheetId="6" r:id="R4cae180687f647ef"/>
    <x:sheet xmlns:r="http://schemas.openxmlformats.org/officeDocument/2006/relationships" name="内容 Modules" sheetId="7" r:id="R09da6b80e42f4b5f"/>
    <x:sheet xmlns:r="http://schemas.openxmlformats.org/officeDocument/2006/relationships" name="页面 Screens" sheetId="8" r:id="R76704368c8f442b8"/>
    <x:sheet xmlns:r="http://schemas.openxmlformats.org/officeDocument/2006/relationships" name="功能 Features" sheetId="9" r:id="Rb22bad0b03f54f3b"/>
    <x:sheet xmlns:r="http://schemas.openxmlformats.org/officeDocument/2006/relationships" name="素材 Assets" sheetId="10" r:id="R8e40024246cb4cab"/>
    <x:sheet xmlns:r="http://schemas.openxmlformats.org/officeDocument/2006/relationships" name="风险 QA" sheetId="11" r:id="R85fcafc365a746f9"/>
    <x:sheet xmlns:r="http://schemas.openxmlformats.org/officeDocument/2006/relationships" name="Agent输入" sheetId="12" r:id="Rb3bb715fb35c4f3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x:numFmts>
  <x:fonts count="8">
    <x:font>
      <x:sz val="11"/>
      <x:name val="Carlito"/>
    </x:font>
    <x:font>
      <x:b/>
      <x:sz val="18"/>
      <x:color rgb="FFFFFFFF"/>
      <x:name val="Noto Sans S Chinese"/>
    </x:font>
    <x:font>
      <x:sz val="10"/>
      <x:color rgb="FF214E49"/>
      <x:name val="Noto Sans S Chinese"/>
    </x:font>
    <x:font>
      <x:b/>
      <x:sz val="11"/>
      <x:color rgb="FFB7653E"/>
      <x:name val="Noto Sans S Chinese"/>
    </x:font>
    <x:font>
      <x:b/>
      <x:sz val="10"/>
      <x:color rgb="FF214E49"/>
      <x:name val="Noto Sans S Chinese"/>
    </x:font>
    <x:font>
      <x:sz val="9"/>
      <x:color rgb="FF1C292B"/>
      <x:name val="Noto Sans S Chinese"/>
    </x:font>
    <x:font>
      <x:b/>
      <x:sz val="11"/>
      <x:color rgb="FF214E49"/>
      <x:name val="Noto Sans S Chinese"/>
    </x:font>
    <x:font>
      <x:sz val="10"/>
      <x:color rgb="FF1C292B"/>
      <x:name val="Noto Sans S Chinese"/>
    </x:font>
  </x:fonts>
  <x:fills count="7">
    <x:fill>
      <x:patternFill patternType="none"/>
    </x:fill>
    <x:fill>
      <x:patternFill patternType="gray125"/>
    </x:fill>
    <x:fill>
      <x:patternFill patternType="solid">
        <x:fgColor rgb="FF1C292B"/>
      </x:patternFill>
    </x:fill>
    <x:fill>
      <x:patternFill patternType="solid">
        <x:fgColor rgb="FFE7F0EE"/>
      </x:patternFill>
    </x:fill>
    <x:fill>
      <x:patternFill patternType="solid">
        <x:fgColor rgb="FFF5E8E1"/>
      </x:patternFill>
    </x:fill>
    <x:fill>
      <x:patternFill patternType="solid">
        <x:fgColor rgb="FFE8EEF5"/>
      </x:patternFill>
    </x:fill>
    <x:fill>
      <x:patternFill patternType="solid">
        <x:fgColor rgb="FFF4F1EA"/>
      </x:patternFill>
    </x:fill>
  </x:fills>
  <x:borders count="13">
    <x:border/>
    <x:border>
      <x:right style="thin">
        <x:color rgb="FFD7DEDF"/>
      </x:right>
    </x:border>
    <x:border>
      <x:left style="thin">
        <x:color rgb="FFD7DEDF"/>
      </x:left>
    </x:border>
    <x:border>
      <x:right style="thin">
        <x:color rgb="FFD7DEDF"/>
      </x:right>
      <x:bottom style="thin">
        <x:color rgb="FFD7DEDF"/>
      </x:bottom>
    </x:border>
    <x:border>
      <x:left style="thin">
        <x:color rgb="FFD7DEDF"/>
      </x:left>
      <x:bottom style="thin">
        <x:color rgb="FFD7DEDF"/>
      </x:bottom>
    </x:border>
    <x:border>
      <x:right style="thin">
        <x:color rgb="FFD7DEDF"/>
      </x:right>
      <x:top style="thin">
        <x:color rgb="FFD7DEDF"/>
      </x:top>
      <x:bottom style="thin">
        <x:color rgb="FFD7DEDF"/>
      </x:bottom>
    </x:border>
    <x:border>
      <x:left style="thin">
        <x:color rgb="FFD7DEDF"/>
      </x:left>
      <x:top style="thin">
        <x:color rgb="FFD7DEDF"/>
      </x:top>
      <x:bottom style="thin">
        <x:color rgb="FFD7DEDF"/>
      </x:bottom>
    </x:border>
    <x:border>
      <x:right style="thin">
        <x:color rgb="FFD7DEDF"/>
      </x:right>
      <x:top style="thin">
        <x:color rgb="FFD7DEDF"/>
      </x:top>
    </x:border>
    <x:border>
      <x:left style="thin">
        <x:color rgb="FFD7DEDF"/>
      </x:left>
      <x:top style="thin">
        <x:color rgb="FFD7DEDF"/>
      </x:top>
    </x:border>
    <x:border>
      <x:left style="thin">
        <x:color rgb="FFD7DEDF"/>
      </x:left>
      <x:right style="thin">
        <x:color rgb="FFD7DEDF"/>
      </x:right>
    </x:border>
    <x:border>
      <x:left style="thin">
        <x:color rgb="FFD7DEDF"/>
      </x:left>
      <x:right style="thin">
        <x:color rgb="FFD7DEDF"/>
      </x:right>
      <x:bottom style="thin">
        <x:color rgb="FFD7DEDF"/>
      </x:bottom>
    </x:border>
    <x:border>
      <x:left style="thin">
        <x:color rgb="FFD7DEDF"/>
      </x:left>
      <x:right style="thin">
        <x:color rgb="FFD7DEDF"/>
      </x:right>
      <x:top style="thin">
        <x:color rgb="FFD7DEDF"/>
      </x:top>
      <x:bottom style="thin">
        <x:color rgb="FFD7DEDF"/>
      </x:bottom>
    </x:border>
    <x:border>
      <x:left style="thin">
        <x:color rgb="FFD7DEDF"/>
      </x:left>
      <x:right style="thin">
        <x:color rgb="FFD7DEDF"/>
      </x:right>
      <x:top style="thin">
        <x:color rgb="FFD7DEDF"/>
      </x:top>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5" fillId="0" borderId="0"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3"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0" fontId="5" fillId="0" borderId="5" xfId="0" applyNumberFormat="1" applyFont="1" applyFill="1" applyBorder="1" applyAlignment="1">
      <x:alignment vertical="center" wrapText="1"/>
    </x:xf>
    <x:xf numFmtId="0" fontId="5" fillId="0" borderId="6" xfId="0" applyNumberFormat="1" applyFont="1" applyFill="1" applyBorder="1" applyAlignment="1">
      <x:alignment vertical="center" wrapText="1"/>
    </x:xf>
    <x:xf numFmtId="0" fontId="5" fillId="0" borderId="7" xfId="0" applyNumberFormat="1" applyFont="1" applyFill="1" applyBorder="1" applyAlignment="1">
      <x:alignment vertical="center" wrapText="1"/>
    </x:xf>
    <x:xf numFmtId="0" fontId="5" fillId="0" borderId="8" xfId="0" applyNumberFormat="1" applyFont="1" applyFill="1" applyBorder="1" applyAlignment="1">
      <x:alignment vertical="center" wrapText="1"/>
    </x:xf>
    <x:xf numFmtId="0" fontId="4" fillId="5" borderId="9" xfId="0" applyNumberFormat="1" applyFont="1" applyFill="1" applyBorder="1"/>
    <x:xf numFmtId="0" fontId="4" fillId="5" borderId="9" xfId="0" applyNumberFormat="1" applyFont="1" applyFill="1" applyBorder="1" applyAlignment="1">
      <x:alignment wrapText="1"/>
    </x:xf>
    <x:xf numFmtId="0" fontId="4" fillId="5" borderId="9" xfId="0" applyNumberFormat="1" applyFont="1" applyFill="1" applyBorder="1" applyAlignment="1">
      <x:alignment horizontal="center" wrapText="1"/>
    </x:xf>
    <x:xf numFmtId="0" fontId="4" fillId="5" borderId="9" xfId="0" applyNumberFormat="1" applyFont="1" applyFill="1" applyBorder="1" applyAlignment="1">
      <x:alignment horizontal="center" vertical="center" wrapText="1"/>
    </x:xf>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0" xfId="0" applyNumberFormat="1" applyFont="1" applyFill="1" applyBorder="1" applyAlignment="1">
      <x:alignment vertical="center" wrapText="1"/>
    </x:xf>
    <x:xf numFmtId="0" fontId="5" fillId="0" borderId="11" xfId="0" applyNumberFormat="1" applyFont="1" applyFill="1" applyBorder="1" applyAlignment="1">
      <x:alignment vertical="center" wrapText="1"/>
    </x:xf>
    <x:xf numFmtId="0" fontId="5" fillId="0" borderId="12"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11" xfId="0" applyNumberFormat="1" applyFont="1" applyFill="1" applyBorder="1"/>
    <x:xf numFmtId="0" fontId="4" fillId="3" borderId="11" xfId="0" applyNumberFormat="1" applyFont="1" applyFill="1" applyBorder="1" applyAlignment="1">
      <x:alignment wrapText="1"/>
    </x:xf>
    <x:xf numFmtId="200" fontId="5" fillId="0" borderId="10" xfId="0" applyNumberFormat="1" applyFont="1" applyFill="1" applyBorder="1" applyAlignment="1">
      <x:alignment vertical="center" wrapText="1"/>
    </x:xf>
    <x:xf numFmtId="200" fontId="5" fillId="0" borderId="11" xfId="0" applyNumberFormat="1" applyFont="1" applyFill="1" applyBorder="1" applyAlignment="1">
      <x:alignment vertical="center" wrapText="1"/>
    </x:xf>
    <x:xf numFmtId="200" fontId="5" fillId="0" borderId="12" xfId="0" applyNumberFormat="1" applyFont="1" applyFill="1" applyBorder="1" applyAlignment="1">
      <x:alignment vertical="center" wrapText="1"/>
    </x:xf>
    <x:xf numFmtId="200" fontId="4" fillId="3" borderId="11" xfId="0" applyNumberFormat="1" applyFont="1" applyFill="1" applyBorder="1" applyAlignment="1">
      <x:alignment wrapText="1"/>
    </x:xf>
    <x:xf numFmtId="201" fontId="5" fillId="0" borderId="10" xfId="0" applyNumberFormat="1" applyFont="1" applyFill="1" applyBorder="1" applyAlignment="1">
      <x:alignment vertical="center" wrapText="1"/>
    </x:xf>
    <x:xf numFmtId="201" fontId="5" fillId="0" borderId="11" xfId="0" applyNumberFormat="1" applyFont="1" applyFill="1" applyBorder="1" applyAlignment="1">
      <x:alignment vertical="center" wrapText="1"/>
    </x:xf>
    <x:xf numFmtId="201" fontId="5" fillId="0" borderId="12" xfId="0" applyNumberFormat="1" applyFont="1" applyFill="1" applyBorder="1" applyAlignment="1">
      <x:alignment vertical="center" wrapText="1"/>
    </x:xf>
    <x:xf numFmtId="201" fontId="4" fillId="3" borderId="1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0" xfId="0" applyNumberFormat="1" applyFont="1" applyFill="1" applyBorder="1">
      <x:extLst>
        <x:ext uri="{C7286773-470A-42A8-94C5-96B5CB345126}">
          <xfpb:xfComplement xmlns:xfpb="http://schemas.microsoft.com/office/spreadsheetml/2022/featurepropertybag" i="0"/>
        </x:ext>
      </x:extLst>
    </x:xf>
    <x:xf numFmtId="0" fontId="5" fillId="0" borderId="11" xfId="0" applyNumberFormat="1" applyFont="1" applyFill="1" applyBorder="1">
      <x:extLst>
        <x:ext uri="{C7286773-470A-42A8-94C5-96B5CB345126}">
          <xfpb:xfComplement xmlns:xfpb="http://schemas.microsoft.com/office/spreadsheetml/2022/featurepropertybag" i="0"/>
        </x:ext>
      </x:extLst>
    </x:xf>
    <x:xf numFmtId="0" fontId="5" fillId="0" borderId="12" xfId="0" applyNumberFormat="1" applyFont="1" applyFill="1" applyBorder="1">
      <x:extLst>
        <x:ext uri="{C7286773-470A-42A8-94C5-96B5CB345126}">
          <xfpb:xfComplement xmlns:xfpb="http://schemas.microsoft.com/office/spreadsheetml/2022/featurepropertybag" i="0"/>
        </x:ext>
      </x:extLst>
    </x:xf>
    <x:xf numFmtId="0" fontId="5" fillId="0" borderId="10"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2"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5" fillId="0" borderId="1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5" fillId="0" borderId="12"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2" fontId="5" fillId="0" borderId="10" xfId="0" applyNumberFormat="1" applyFont="1" applyFill="1" applyBorder="1" applyAlignment="1">
      <x:alignment vertical="center" wrapText="1"/>
    </x:xf>
    <x:xf numFmtId="202" fontId="5" fillId="0" borderId="11" xfId="0" applyNumberFormat="1" applyFont="1" applyFill="1" applyBorder="1" applyAlignment="1">
      <x:alignment vertical="center" wrapText="1"/>
    </x:xf>
    <x:xf numFmtId="202" fontId="5" fillId="0" borderId="12" xfId="0" applyNumberFormat="1" applyFont="1" applyFill="1" applyBorder="1" applyAlignment="1">
      <x:alignment vertical="center" wrapText="1"/>
    </x:xf>
    <x:xf numFmtId="202" fontId="5" fillId="0" borderId="4" xfId="0" applyNumberFormat="1" applyFont="1" applyFill="1" applyBorder="1" applyAlignment="1">
      <x:alignment vertical="center" wrapText="1"/>
    </x:xf>
    <x:xf numFmtId="202" fontId="5" fillId="0" borderId="6" xfId="0" applyNumberFormat="1" applyFont="1" applyFill="1" applyBorder="1" applyAlignment="1">
      <x:alignment vertical="center" wrapText="1"/>
    </x:xf>
    <x:xf numFmtId="202" fontId="5" fillId="0" borderId="8" xfId="0" applyNumberFormat="1" applyFont="1" applyFill="1" applyBorder="1" applyAlignment="1">
      <x:alignment vertical="center" wrapText="1"/>
    </x:xf>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11" xfId="0" applyNumberFormat="1" applyFont="1" applyFill="1" applyBorder="1"/>
    <x:xf numFmtId="0" fontId="7" fillId="6" borderId="11" xfId="0" applyNumberFormat="1" applyFont="1" applyFill="1" applyBorder="1" applyAlignment="1">
      <x:alignment wrapText="1"/>
    </x:xf>
    <x:xf numFmtId="0" fontId="7" fillId="6" borderId="11" xfId="0" applyNumberFormat="1" applyFont="1" applyFill="1" applyBorder="1" applyAlignment="1">
      <x:alignment vertical="center" wrapText="1"/>
    </x:xf>
  </x:cellXfs>
  <x:cellStyles count="1">
    <x:cellStyle name="Normal" xfId="0"/>
  </x:cellStyles>
  <x:dxfs count="6">
    <x:dxf>
      <x:font>
        <x:b/>
        <x:color rgb="FF214E49"/>
      </x:font>
      <x:fill>
        <x:patternFill patternType="solid">
          <x:bgColor rgb="FFE7F0EE"/>
        </x:patternFill>
      </x:fill>
    </x:dxf>
    <x:dxf>
      <x:font>
        <x:b/>
        <x:color rgb="FF9A762B"/>
      </x:font>
      <x:fill>
        <x:patternFill patternType="solid">
          <x:bgColor rgb="FFF6F0DE"/>
        </x:patternFill>
      </x:fill>
    </x:dxf>
    <x:dxf>
      <x:font>
        <x:b/>
        <x:color rgb="FFB7653E"/>
      </x:font>
      <x:fill>
        <x:patternFill patternType="solid">
          <x:bgColor rgb="FFF5E8E1"/>
        </x:patternFill>
      </x:fill>
    </x:dxf>
    <x:dxf>
      <x:font>
        <x:b/>
        <x:color rgb="FF214E49"/>
      </x:font>
      <x:fill>
        <x:patternFill patternType="solid">
          <x:bgColor rgb="FFE7F0EE"/>
        </x:patternFill>
      </x:fill>
    </x:dxf>
    <x:dxf>
      <x:font>
        <x:b/>
        <x:color rgb="FF9B1C1C"/>
      </x:font>
      <x:fill>
        <x:patternFill patternType="solid">
          <x:bgColor rgb="FFF7EAEA"/>
        </x:patternFill>
      </x:fill>
    </x:dxf>
    <x:dxf>
      <x:font>
        <x:b/>
        <x:color rgb="FF214E49"/>
      </x:font>
      <x:fill>
        <x:patternFill patternType="solid">
          <x:bgColor rgb="FFE7F0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fd6e78e47f4e36" /><Relationship Type="http://schemas.openxmlformats.org/officeDocument/2006/relationships/theme" Target="/xl/theme/theme1.xml" Id="R7a625b2547b74555" /><Relationship Type="http://schemas.microsoft.com/office/2022/11/relationships/FeaturePropertyBag" Target="/xl/featurePropertyBag/featurePropertyBag.xml" Id="R838019cc94f141ea" /><Relationship Type="http://schemas.openxmlformats.org/officeDocument/2006/relationships/sharedStrings" Target="/xl/sharedStrings.xml" Id="R03e2e01162b94a81" /><Relationship Type="http://schemas.openxmlformats.org/officeDocument/2006/relationships/worksheet" Target="/xl/worksheets/sheet1.xml" Id="Rad16d9a4b0be423b" /><Relationship Type="http://schemas.openxmlformats.org/officeDocument/2006/relationships/worksheet" Target="/xl/worksheets/sheet2.xml" Id="R6ce0a1aaa4fe4fc8" /><Relationship Type="http://schemas.openxmlformats.org/officeDocument/2006/relationships/worksheet" Target="/xl/worksheets/sheet3.xml" Id="Re335ffe727e844ab" /><Relationship Type="http://schemas.openxmlformats.org/officeDocument/2006/relationships/worksheet" Target="/xl/worksheets/sheet4.xml" Id="R756d8d53027c4de3" /><Relationship Type="http://schemas.openxmlformats.org/officeDocument/2006/relationships/worksheet" Target="/xl/worksheets/sheet5.xml" Id="R626e8bea35af456c" /><Relationship Type="http://schemas.openxmlformats.org/officeDocument/2006/relationships/worksheet" Target="/xl/worksheets/sheet6.xml" Id="R4cae180687f647ef" /><Relationship Type="http://schemas.openxmlformats.org/officeDocument/2006/relationships/worksheet" Target="/xl/worksheets/sheet7.xml" Id="R09da6b80e42f4b5f" /><Relationship Type="http://schemas.openxmlformats.org/officeDocument/2006/relationships/worksheet" Target="/xl/worksheets/sheet8.xml" Id="R76704368c8f442b8" /><Relationship Type="http://schemas.openxmlformats.org/officeDocument/2006/relationships/worksheet" Target="/xl/worksheets/sheet9.xml" Id="Rb22bad0b03f54f3b" /><Relationship Type="http://schemas.openxmlformats.org/officeDocument/2006/relationships/worksheet" Target="/xl/worksheets/sheet10.xml" Id="R8e40024246cb4cab" /><Relationship Type="http://schemas.openxmlformats.org/officeDocument/2006/relationships/worksheet" Target="/xl/worksheets/sheet11.xml" Id="R85fcafc365a746f9" /><Relationship Type="http://schemas.openxmlformats.org/officeDocument/2006/relationships/worksheet" Target="/xl/worksheets/sheet12.xml" Id="Rb3bb715fb35c4f3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sTable" displayName="SourcesTable" ref="A4:K32" headerRowCount="1" totalsRowCount="0" totalsRowShown="0">
  <x:autoFilter ref="A4:K32"/>
  <x:tableColumns count="11">
    <x:tableColumn id="1" name="source_id"/>
    <x:tableColumn id="2" name="title"/>
    <x:tableColumn id="3" name="publisher"/>
    <x:tableColumn id="4" name="publication_date"/>
    <x:tableColumn id="5" name="source_type"/>
    <x:tableColumn id="6" name="authority_level"/>
    <x:tableColumn id="7" name="is_primary"/>
    <x:tableColumn id="8" name="url"/>
    <x:tableColumn id="9" name="supports_summary"/>
    <x:tableColumn id="10" name="limitations"/>
    <x:tableColumn id="11" name="current_status"/>
  </x:tableColumns>
  <x:tableStyleInfo name="TableStyleMedium2" showFirstColumn="0" showLastColumn="0" showRowStripes="1" showColumnStripes="0"/>
</x:table>
</file>

<file path=xl/tables/table2.xml><?xml version="1.0" encoding="utf-8"?>
<x:table xmlns:x="http://schemas.openxmlformats.org/spreadsheetml/2006/main" id="2" name="ClaimsTable" displayName="ClaimsTable" ref="A4:P54" headerRowCount="1" totalsRowCount="0" totalsRowShown="0">
  <x:autoFilter ref="A4:P54"/>
  <x:tableColumns count="16">
    <x:tableColumn id="1" name="claim_id"/>
    <x:tableColumn id="2" name="entity_id"/>
    <x:tableColumn id="3" name="topic"/>
    <x:tableColumn id="4" name="claim_text_full"/>
    <x:tableColumn id="5" name="safe_copy_cn"/>
    <x:tableColumn id="6" name="range_min"/>
    <x:tableColumn id="7" name="range_max"/>
    <x:tableColumn id="8" name="unit"/>
    <x:tableColumn id="9" name="measurement_scope"/>
    <x:tableColumn id="10" name="evidence_class"/>
    <x:tableColumn id="11" name="confidence"/>
    <x:tableColumn id="12" name="claim_status"/>
    <x:tableColumn id="13" name="required_qualifier"/>
    <x:tableColumn id="14" name="forbidden_rephrasing"/>
    <x:tableColumn id="15" name="source_id"/>
    <x:tableColumn id="16" name="last_verified_at"/>
  </x:tableColumns>
  <x:tableStyleInfo name="TableStyleMedium2" showFirstColumn="0" showLastColumn="0" showRowStripes="1" showColumnStripes="0"/>
</x:table>
</file>

<file path=xl/tables/table3.xml><?xml version="1.0" encoding="utf-8"?>
<x:table xmlns:x="http://schemas.openxmlformats.org/spreadsheetml/2006/main" id="3" name="ConflictsTable" displayName="ConflictsTable" ref="A4:F12" headerRowCount="1" totalsRowCount="0" totalsRowShown="0">
  <x:autoFilter ref="A4:F12"/>
  <x:tableColumns count="6">
    <x:tableColumn id="1" name="conflict_id"/>
    <x:tableColumn id="2" name="topic"/>
    <x:tableColumn id="3" name="public_values"/>
    <x:tableColumn id="4" name="scope_difference"/>
    <x:tableColumn id="5" name="product_treatment"/>
    <x:tableColumn id="6" name="red_line"/>
  </x:tableColumns>
  <x:tableStyleInfo name="TableStyleMedium2" showFirstColumn="0" showLastColumn="0" showRowStripes="1" showColumnStripes="0"/>
</x:table>
</file>

<file path=xl/tables/table4.xml><?xml version="1.0" encoding="utf-8"?>
<x:table xmlns:x="http://schemas.openxmlformats.org/spreadsheetml/2006/main" id="4" name="VersionTreeTable" displayName="VersionTreeTable" ref="A4:H9" headerRowCount="1" totalsRowCount="0" totalsRowShown="0">
  <x:autoFilter ref="A4:H9"/>
  <x:tableColumns count="8">
    <x:tableColumn id="1" name="version_id"/>
    <x:tableColumn id="2" name="topic"/>
    <x:tableColumn id="3" name="old_claim_id"/>
    <x:tableColumn id="4" name="old_model"/>
    <x:tableColumn id="5" name="new_claim_id"/>
    <x:tableColumn id="6" name="new_evidence"/>
    <x:tableColumn id="7" name="relation"/>
    <x:tableColumn id="8" name="display_rule"/>
  </x:tableColumns>
  <x:tableStyleInfo name="TableStyleMedium2" showFirstColumn="0" showLastColumn="0" showRowStripes="1" showColumnStripes="0"/>
</x:table>
</file>

<file path=xl/tables/table5.xml><?xml version="1.0" encoding="utf-8"?>
<x:table xmlns:x="http://schemas.openxmlformats.org/spreadsheetml/2006/main" id="5" name="ModulesTable" displayName="ModulesTable" ref="A4:I20" headerRowCount="1" totalsRowCount="0" totalsRowShown="0">
  <x:autoFilter ref="A4:I20"/>
  <x:tableColumns count="9">
    <x:tableColumn id="1" name="module_id"/>
    <x:tableColumn id="2" name="layer"/>
    <x:tableColumn id="3" name="chapter"/>
    <x:tableColumn id="4" name="learning_question"/>
    <x:tableColumn id="5" name="content_scope"/>
    <x:tableColumn id="6" name="interaction"/>
    <x:tableColumn id="7" name="priority"/>
    <x:tableColumn id="8" name="duration"/>
    <x:tableColumn id="9" name="boundary"/>
  </x:tableColumns>
  <x:tableStyleInfo name="TableStyleMedium2" showFirstColumn="0" showLastColumn="0" showRowStripes="1" showColumnStripes="0"/>
</x:table>
</file>

<file path=xl/tables/table6.xml><?xml version="1.0" encoding="utf-8"?>
<x:table xmlns:x="http://schemas.openxmlformats.org/spreadsheetml/2006/main" id="6" name="ScreensTable" displayName="ScreensTable" ref="A4:G33" headerRowCount="1" totalsRowCount="0" totalsRowShown="0">
  <x:autoFilter ref="A4:G33"/>
  <x:tableColumns count="7">
    <x:tableColumn id="1" name="screen_id"/>
    <x:tableColumn id="2" name="screen_name"/>
    <x:tableColumn id="3" name="purpose"/>
    <x:tableColumn id="4" name="module"/>
    <x:tableColumn id="5" name="gesture"/>
    <x:tableColumn id="6" name="priority"/>
    <x:tableColumn id="7" name="acceptance"/>
  </x:tableColumns>
  <x:tableStyleInfo name="TableStyleMedium2" showFirstColumn="0" showLastColumn="0" showRowStripes="1" showColumnStripes="0"/>
</x:table>
</file>

<file path=xl/tables/table7.xml><?xml version="1.0" encoding="utf-8"?>
<x:table xmlns:x="http://schemas.openxmlformats.org/spreadsheetml/2006/main" id="7" name="FeaturesTable" displayName="FeaturesTable" ref="A4:G34" headerRowCount="1" totalsRowCount="0" totalsRowShown="0">
  <x:autoFilter ref="A4:G34"/>
  <x:tableColumns count="7">
    <x:tableColumn id="1" name="feature_id"/>
    <x:tableColumn id="2" name="feature"/>
    <x:tableColumn id="3" name="requirement"/>
    <x:tableColumn id="4" name="priority"/>
    <x:tableColumn id="5" name="owner_area"/>
    <x:tableColumn id="6" name="status"/>
    <x:tableColumn id="7" name="acceptance"/>
  </x:tableColumns>
  <x:tableStyleInfo name="TableStyleMedium2" showFirstColumn="0" showLastColumn="0" showRowStripes="1" showColumnStripes="0"/>
</x:table>
</file>

<file path=xl/tables/table8.xml><?xml version="1.0" encoding="utf-8"?>
<x:table xmlns:x="http://schemas.openxmlformats.org/spreadsheetml/2006/main" id="8" name="AssetsTable" displayName="AssetsTable" ref="A4:J24" headerRowCount="1" totalsRowCount="0" totalsRowShown="0">
  <x:autoFilter ref="A4:J24"/>
  <x:tableColumns count="10">
    <x:tableColumn id="1" name="asset_id"/>
    <x:tableColumn id="2" name="asset_type"/>
    <x:tableColumn id="3" name="subject"/>
    <x:tableColumn id="4" name="format"/>
    <x:tableColumn id="5" name="origin"/>
    <x:tableColumn id="6" name="creator"/>
    <x:tableColumn id="7" name="permission_proof"/>
    <x:tableColumn id="8" name="rights_status"/>
    <x:tableColumn id="9" name="fact_boundary"/>
    <x:tableColumn id="10" name="priority"/>
  </x:tableColumns>
  <x:tableStyleInfo name="TableStyleMedium2" showFirstColumn="0" showLastColumn="0" showRowStripes="1" showColumnStripes="0"/>
</x:table>
</file>

<file path=xl/tables/table9.xml><?xml version="1.0" encoding="utf-8"?>
<x:table xmlns:x="http://schemas.openxmlformats.org/spreadsheetml/2006/main" id="9" name="RisksTable" displayName="RisksTable" ref="A4:G14" headerRowCount="1" totalsRowCount="0" totalsRowShown="0">
  <x:autoFilter ref="A4:G14"/>
  <x:tableColumns count="7">
    <x:tableColumn id="1" name="risk_id"/>
    <x:tableColumn id="2" name="risk"/>
    <x:tableColumn id="3" name="probability"/>
    <x:tableColumn id="4" name="impact"/>
    <x:tableColumn id="5" name="mitigation"/>
    <x:tableColumn id="6" name="owner"/>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e19a90ec8e34b1a" /></Relationships>
</file>

<file path=xl/worksheets/_rels/sheet4.xml.rels>&#65279;<?xml version="1.0" encoding="utf-8"?><Relationships xmlns="http://schemas.openxmlformats.org/package/2006/relationships"><Relationship Type="http://schemas.openxmlformats.org/officeDocument/2006/relationships/table" Target="/xl/tables/table2.xml" Id="R3c671966ca1540f1" /></Relationships>
</file>

<file path=xl/worksheets/_rels/sheet5.xml.rels>&#65279;<?xml version="1.0" encoding="utf-8"?><Relationships xmlns="http://schemas.openxmlformats.org/package/2006/relationships"><Relationship Type="http://schemas.openxmlformats.org/officeDocument/2006/relationships/table" Target="/xl/tables/table3.xml" Id="Rec0789bfd1914989" /></Relationships>
</file>

<file path=xl/worksheets/_rels/sheet6.xml.rels>&#65279;<?xml version="1.0" encoding="utf-8"?><Relationships xmlns="http://schemas.openxmlformats.org/package/2006/relationships"><Relationship Type="http://schemas.openxmlformats.org/officeDocument/2006/relationships/table" Target="/xl/tables/table4.xml" Id="Ra4be31fc09e04f9c" /></Relationships>
</file>

<file path=xl/worksheets/_rels/sheet7.xml.rels>&#65279;<?xml version="1.0" encoding="utf-8"?><Relationships xmlns="http://schemas.openxmlformats.org/package/2006/relationships"><Relationship Type="http://schemas.openxmlformats.org/officeDocument/2006/relationships/table" Target="/xl/tables/table5.xml" Id="R8972ae272ee6400d" /></Relationships>
</file>

<file path=xl/worksheets/_rels/sheet8.xml.rels>&#65279;<?xml version="1.0" encoding="utf-8"?><Relationships xmlns="http://schemas.openxmlformats.org/package/2006/relationships"><Relationship Type="http://schemas.openxmlformats.org/officeDocument/2006/relationships/table" Target="/xl/tables/table6.xml" Id="Rdd6a18743a794f67" /></Relationships>
</file>

<file path=xl/worksheets/_rels/sheet9.xml.rels>&#65279;<?xml version="1.0" encoding="utf-8"?><Relationships xmlns="http://schemas.openxmlformats.org/package/2006/relationships"><Relationship Type="http://schemas.openxmlformats.org/officeDocument/2006/relationships/table" Target="/xl/tables/table7.xml" Id="Rc0ff07c6cd4243f7" /></Relationships>
</file>

<file path=xl/worksheets/_rels/sheet10.xml.rels>&#65279;<?xml version="1.0" encoding="utf-8"?><Relationships xmlns="http://schemas.openxmlformats.org/package/2006/relationships"><Relationship Type="http://schemas.openxmlformats.org/officeDocument/2006/relationships/table" Target="/xl/tables/table8.xml" Id="R66f46361b02e4cf9" /></Relationships>
</file>

<file path=xl/worksheets/_rels/sheet11.xml.rels>&#65279;<?xml version="1.0" encoding="utf-8"?><Relationships xmlns="http://schemas.openxmlformats.org/package/2006/relationships"><Relationship Type="http://schemas.openxmlformats.org/officeDocument/2006/relationships/table" Target="/xl/tables/table9.xml" Id="R9241f1e4407f41e0" /></Relationships>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3.109999895095825" hidden="0" customWidth="1"/>
    <x:col min="4" max="4" width="16.670000076293945" hidden="0" customWidth="1"/>
    <x:col min="5" max="5" width="20" hidden="0" customWidth="1"/>
    <x:col min="6" max="6" width="20" hidden="0" customWidth="1"/>
    <x:col min="7" max="7" width="18.889999389648438" hidden="0" customWidth="1"/>
    <x:col min="8" max="8" width="11.109999656677246" hidden="0" customWidth="1"/>
  </x:cols>
  <x:sheetData>
    <x:row r="1" ht="34" customHeight="1">
      <x:c r="A1" s="3" t="str">
        <x:v>《曙光坐标·5800》开发总览</x:v>
      </x:c>
    </x:row>
    <x:row r="2" ht="30" customHeight="1">
      <x:c r="A2" s="7" t="str">
        <x:v>H5互动产品（PWA级全栈应用）｜资料核验与需求基线 v1.0｜核验截至2026-07-14</x:v>
      </x:c>
    </x:row>
    <x:row r="3" ht="8" customHeight="1"/>
    <x:row r="4" ht="44" customHeight="1">
      <x:c r="A4" s="11" t="str">
        <x:v>最终决策：报名勾选“H5互动产品”；工程实现为可安装PWA；WebAR仅作可降级增强。产品采用“文明长卷 + 证据实验室”双层结构。</x:v>
      </x:c>
    </x:row>
    <x:row r="6" ht="30" customHeight="1">
      <x:c r="A6" s="20" t="str">
        <x:v>指标</x:v>
      </x:c>
      <x:c r="B6" s="21" t="str">
        <x:v>当前值</x:v>
      </x:c>
      <x:c r="D6" s="20" t="str">
        <x:v>必须守住</x:v>
      </x:c>
      <x:c r="E6" s="44" t="str">
        <x:v>原因</x:v>
      </x:c>
      <x:c r="F6" s="44" t="str">
        <x:v>设计响应</x:v>
      </x:c>
      <x:c r="G6" s="44" t="str">
        <x:v>验收证据</x:v>
      </x:c>
      <x:c r="H6" s="21" t="str">
        <x:v>状态</x:v>
      </x:c>
    </x:row>
    <x:row r="7">
      <x:c r="A7" s="35" t="str">
        <x:v>来源条目</x:v>
      </x:c>
      <x:c r="B7" s="36" t="n">
        <x:f>COUNTA('来源 Sources'!$A$5:$A$200)</x:f>
        <x:v>28</x:v>
      </x:c>
      <x:c r="D7" s="35" t="str">
        <x:v>系统性</x:v>
      </x:c>
      <x:c r="E7" s="51" t="str">
        <x:v>用户要理解完整历史渊源</x:v>
      </x:c>
      <x:c r="F7" s="51" t="str">
        <x:v>9章文明长卷+自由图鉴</x:v>
      </x:c>
      <x:c r="G7" s="51" t="str">
        <x:v>推荐路径可完整走通</x:v>
      </x:c>
      <x:c r="H7" s="36" t="str">
        <x:v>规划完成</x:v>
      </x:c>
    </x:row>
    <x:row r="8">
      <x:c r="A8" s="37" t="str">
        <x:v>核心事实</x:v>
      </x:c>
      <x:c r="B8" s="38" t="n">
        <x:f>COUNTA('事实 Claims'!$A$5:$A$300)</x:f>
        <x:v>50</x:v>
      </x:c>
      <x:c r="D8" s="37" t="str">
        <x:v>原创性</x:v>
      </x:c>
      <x:c r="E8" s="52" t="str">
        <x:v>普通3D馆已同质化</x:v>
      </x:c>
      <x:c r="F8" s="52" t="str">
        <x:v>证据镜片+认知更新</x:v>
      </x:c>
      <x:c r="G8" s="52" t="str">
        <x:v>关键交互不可被截图替代</x:v>
      </x:c>
      <x:c r="H8" s="38" t="str">
        <x:v>规划完成</x:v>
      </x:c>
    </x:row>
    <x:row r="9">
      <x:c r="A9" s="37" t="str">
        <x:v>知识模块</x:v>
      </x:c>
      <x:c r="B9" s="38" t="n">
        <x:f>COUNTA('内容 Modules'!$A$5:$A$200)</x:f>
        <x:v>16</x:v>
      </x:c>
      <x:c r="D9" s="37" t="str">
        <x:v>事实性</x:v>
      </x:c>
      <x:c r="E9" s="52" t="str">
        <x:v>考古结论仍在更新</x:v>
      </x:c>
      <x:c r="F9" s="52" t="str">
        <x:v>OBS/SYN/INF/HYP+来源</x:v>
      </x:c>
      <x:c r="G9" s="52" t="str">
        <x:v>每个数字可追源</x:v>
      </x:c>
      <x:c r="H9" s="38" t="str">
        <x:v>资料一轮核验</x:v>
      </x:c>
    </x:row>
    <x:row r="10">
      <x:c r="A10" s="37" t="str">
        <x:v>页面</x:v>
      </x:c>
      <x:c r="B10" s="38" t="n">
        <x:f>COUNTA('页面 Screens'!$A$5:$A$200)</x:f>
        <x:v>29</x:v>
      </x:c>
      <x:c r="D10" s="37" t="str">
        <x:v>精美度</x:v>
      </x:c>
      <x:c r="E10" s="52" t="str">
        <x:v>评委先看画面再读内容</x:v>
      </x:c>
      <x:c r="F10" s="52" t="str">
        <x:v>矿物纸/玉青/地层线/曙光坐标</x:v>
      </x:c>
      <x:c r="G10" s="52" t="str">
        <x:v>4个高保真关键屏</x:v>
      </x:c>
      <x:c r="H10" s="38" t="str">
        <x:v>待设计</x:v>
      </x:c>
    </x:row>
    <x:row r="11">
      <x:c r="A11" s="37" t="str">
        <x:v>功能需求</x:v>
      </x:c>
      <x:c r="B11" s="38" t="n">
        <x:f>COUNTA('功能 Features'!$A$5:$A$300)</x:f>
        <x:v>30</x:v>
      </x:c>
      <x:c r="D11" s="37" t="str">
        <x:v>实用性</x:v>
      </x:c>
      <x:c r="E11" s="52" t="str">
        <x:v>赛后仍可用于展教研学</x:v>
      </x:c>
      <x:c r="F11" s="52" t="str">
        <x:v>免登录/离线/教师模式</x:v>
      </x:c>
      <x:c r="G11" s="52" t="str">
        <x:v>课堂与扫码场景测试</x:v>
      </x:c>
      <x:c r="H11" s="38" t="str">
        <x:v>待开发</x:v>
      </x:c>
    </x:row>
    <x:row r="12">
      <x:c r="A12" s="37" t="str">
        <x:v>素材资产</x:v>
      </x:c>
      <x:c r="B12" s="38" t="n">
        <x:f>COUNTA('素材 Assets'!$A$5:$A$300)</x:f>
        <x:v>20</x:v>
      </x:c>
      <x:c r="D12" s="39" t="str">
        <x:v>稳定性</x:v>
      </x:c>
      <x:c r="E12" s="53" t="str">
        <x:v>现场设备不可控</x:v>
      </x:c>
      <x:c r="F12" s="53" t="str">
        <x:v>H5主线+PWA+AR降级</x:v>
      </x:c>
      <x:c r="G12" s="53" t="str">
        <x:v>二维码/录屏/本地四备份</x:v>
      </x:c>
      <x:c r="H12" s="40" t="str">
        <x:v>待开发</x:v>
      </x:c>
    </x:row>
    <x:row r="13">
      <x:c r="A13" s="39" t="str">
        <x:v>风险</x:v>
      </x:c>
      <x:c r="B13" s="40" t="n">
        <x:f>COUNTA('风险 QA'!$A$5:$A$200)</x:f>
        <x:v>10</x:v>
      </x:c>
    </x:row>
    <x:row r="15" ht="34" customHeight="1">
      <x:c r="A15" s="55" t="str">
        <x:v>产品导航建议：文明长卷（系统学习）｜证据实验室（深度交互）｜自由图鉴（主题检索）｜我的报告（成果带走）</x:v>
      </x:c>
    </x:row>
  </x:sheetData>
  <x:mergeCells>
    <x:mergeCell ref="A1:H1"/>
    <x:mergeCell ref="A2:H2"/>
    <x:mergeCell ref="A4:H4"/>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8.890000343322754" hidden="0" customWidth="1"/>
    <x:col min="3" max="3" width="10" hidden="0" customWidth="1"/>
    <x:col min="4" max="4" width="12.220000267028809" hidden="0" customWidth="1"/>
    <x:col min="5" max="5" width="8.890000343322754" hidden="0" customWidth="1"/>
    <x:col min="6" max="6" width="8.890000343322754" hidden="0" customWidth="1"/>
    <x:col min="7" max="7" width="27.780000686645508" hidden="0" customWidth="1"/>
  </x:cols>
  <x:sheetData>
    <x:row r="1" ht="34" customHeight="1">
      <x:c r="A1" s="3" t="str">
        <x:v>赛道选择加权决策</x:v>
      </x:c>
    </x:row>
    <x:row r="2" ht="30" customHeight="1">
      <x:c r="A2" s="7" t="str">
        <x:v>在小型学生团队、React+FastAPI+SQLite Agent、须交付可运行作品前提下的策划模型；并非官方评分。</x:v>
      </x:c>
    </x:row>
    <x:row r="3" ht="8" customHeight="1"/>
    <x:row r="4" ht="30" customHeight="1">
      <x:c r="A4" s="20" t="str">
        <x:v>指标</x:v>
      </x:c>
      <x:c r="B4" s="44" t="str">
        <x:v>权重</x:v>
      </x:c>
      <x:c r="C4" s="44" t="str">
        <x:v>APP</x:v>
      </x:c>
      <x:c r="D4" s="44" t="str">
        <x:v>H5/PWA</x:v>
      </x:c>
      <x:c r="E4" s="44" t="str">
        <x:v>VR</x:v>
      </x:c>
      <x:c r="F4" s="44" t="str">
        <x:v>AR</x:v>
      </x:c>
      <x:c r="G4" s="21" t="str">
        <x:v>说明</x:v>
      </x:c>
    </x:row>
    <x:row r="5">
      <x:c r="A5" s="35" t="str">
        <x:v>评委竞争力</x:v>
      </x:c>
      <x:c r="B5" s="58" t="n">
        <x:v>0.18</x:v>
      </x:c>
      <x:c r="C5" s="62" t="n">
        <x:v>8.5</x:v>
      </x:c>
      <x:c r="D5" s="62" t="n">
        <x:v>9</x:v>
      </x:c>
      <x:c r="E5" s="62" t="n">
        <x:v>8.5</x:v>
      </x:c>
      <x:c r="F5" s="62" t="n">
        <x:v>9.5</x:v>
      </x:c>
      <x:c r="G5" s="36" t="str">
        <x:v>记忆点与完整度</x:v>
      </x:c>
    </x:row>
    <x:row r="6">
      <x:c r="A6" s="37" t="str">
        <x:v>实用性</x:v>
      </x:c>
      <x:c r="B6" s="59" t="n">
        <x:v>0.16</x:v>
      </x:c>
      <x:c r="C6" s="63" t="n">
        <x:v>9</x:v>
      </x:c>
      <x:c r="D6" s="63" t="n">
        <x:v>9</x:v>
      </x:c>
      <x:c r="E6" s="63" t="n">
        <x:v>5.5</x:v>
      </x:c>
      <x:c r="F6" s="63" t="n">
        <x:v>7.5</x:v>
      </x:c>
      <x:c r="G6" s="38" t="str">
        <x:v>真实使用场景</x:v>
      </x:c>
    </x:row>
    <x:row r="7">
      <x:c r="A7" s="37" t="str">
        <x:v>创新性</x:v>
      </x:c>
      <x:c r="B7" s="59" t="n">
        <x:v>0.14</x:v>
      </x:c>
      <x:c r="C7" s="63" t="n">
        <x:v>7.5</x:v>
      </x:c>
      <x:c r="D7" s="63" t="n">
        <x:v>8</x:v>
      </x:c>
      <x:c r="E7" s="63" t="n">
        <x:v>9</x:v>
      </x:c>
      <x:c r="F7" s="63" t="n">
        <x:v>9.5</x:v>
      </x:c>
      <x:c r="G7" s="38" t="str">
        <x:v>技术与叙事新颖</x:v>
      </x:c>
    </x:row>
    <x:row r="8">
      <x:c r="A8" s="37" t="str">
        <x:v>最终完成度</x:v>
      </x:c>
      <x:c r="B8" s="59" t="n">
        <x:v>0.14</x:v>
      </x:c>
      <x:c r="C8" s="63" t="n">
        <x:v>7.5</x:v>
      </x:c>
      <x:c r="D8" s="63" t="n">
        <x:v>9</x:v>
      </x:c>
      <x:c r="E8" s="63" t="n">
        <x:v>5.5</x:v>
      </x:c>
      <x:c r="F8" s="63" t="n">
        <x:v>6.5</x:v>
      </x:c>
      <x:c r="G8" s="38" t="str">
        <x:v>可打磨到提交级</x:v>
      </x:c>
    </x:row>
    <x:row r="9">
      <x:c r="A9" s="37" t="str">
        <x:v>演示稳定性</x:v>
      </x:c>
      <x:c r="B9" s="59" t="n">
        <x:v>0.12</x:v>
      </x:c>
      <x:c r="C9" s="63" t="n">
        <x:v>8</x:v>
      </x:c>
      <x:c r="D9" s="63" t="n">
        <x:v>9</x:v>
      </x:c>
      <x:c r="E9" s="63" t="n">
        <x:v>4.5</x:v>
      </x:c>
      <x:c r="F9" s="63" t="n">
        <x:v>6</x:v>
      </x:c>
      <x:c r="G9" s="38" t="str">
        <x:v>现场打开成功率</x:v>
      </x:c>
    </x:row>
    <x:row r="10">
      <x:c r="A10" s="37" t="str">
        <x:v>跨设备能力</x:v>
      </x:c>
      <x:c r="B10" s="59" t="n">
        <x:v>0.1</x:v>
      </x:c>
      <x:c r="C10" s="63" t="n">
        <x:v>7</x:v>
      </x:c>
      <x:c r="D10" s="63" t="n">
        <x:v>10</x:v>
      </x:c>
      <x:c r="E10" s="63" t="n">
        <x:v>3</x:v>
      </x:c>
      <x:c r="F10" s="63" t="n">
        <x:v>5.5</x:v>
      </x:c>
      <x:c r="G10" s="38" t="str">
        <x:v>手机/平板/电脑</x:v>
      </x:c>
    </x:row>
    <x:row r="11">
      <x:c r="A11" s="37" t="str">
        <x:v>二次传播</x:v>
      </x:c>
      <x:c r="B11" s="59" t="n">
        <x:v>0.08</x:v>
      </x:c>
      <x:c r="C11" s="63" t="n">
        <x:v>6.5</x:v>
      </x:c>
      <x:c r="D11" s="63" t="n">
        <x:v>10</x:v>
      </x:c>
      <x:c r="E11" s="63" t="n">
        <x:v>3.5</x:v>
      </x:c>
      <x:c r="F11" s="63" t="n">
        <x:v>7.5</x:v>
      </x:c>
      <x:c r="G11" s="38" t="str">
        <x:v>扫码与分享</x:v>
      </x:c>
    </x:row>
    <x:row r="12">
      <x:c r="A12" s="39" t="str">
        <x:v>成本与风险</x:v>
      </x:c>
      <x:c r="B12" s="60" t="n">
        <x:v>0.08</x:v>
      </x:c>
      <x:c r="C12" s="64" t="n">
        <x:v>6.5</x:v>
      </x:c>
      <x:c r="D12" s="64" t="n">
        <x:v>9</x:v>
      </x:c>
      <x:c r="E12" s="64" t="n">
        <x:v>3.5</x:v>
      </x:c>
      <x:c r="F12" s="64" t="n">
        <x:v>5</x:v>
      </x:c>
      <x:c r="G12" s="40" t="str">
        <x:v>分数高=更可控</x:v>
      </x:c>
    </x:row>
    <x:row r="13">
      <x:c r="A13" s="57" t="str">
        <x:v>加权总分</x:v>
      </x:c>
      <x:c r="B13" s="61" t="n">
        <x:v>1</x:v>
      </x:c>
      <x:c r="C13" s="65" t="n">
        <x:f>SUMPRODUCT($B$5:$B$12,C5:C12)*10</x:f>
        <x:v>77.69999999999999</x:v>
      </x:c>
      <x:c r="D13" s="65" t="n">
        <x:f>SUMPRODUCT($B$5:$B$12,D5:D12)*10</x:f>
        <x:v>90.4</x:v>
      </x:c>
      <x:c r="E13" s="65" t="n">
        <x:f>SUMPRODUCT($B$5:$B$12,E5:E12)*10</x:f>
        <x:v>58.400000000000006</x:v>
      </x:c>
      <x:c r="F13" s="65" t="n">
        <x:f>SUMPRODUCT($B$5:$B$12,F5:F12)*10</x:f>
        <x:v>74.2</x:v>
      </x:c>
      <x:c r="G13" s="57" t="str">
        <x:v>选择最高分作为主赛道</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7.780000686645508" hidden="0" customWidth="1"/>
    <x:col min="3" max="3" width="21.110000610351562" hidden="0" customWidth="1"/>
    <x:col min="4" max="4" width="11.670000076293945" hidden="0" customWidth="1"/>
    <x:col min="5" max="5" width="13.329999923706055" hidden="0" customWidth="1"/>
    <x:col min="6" max="6" width="10.5600004196167" hidden="0" customWidth="1"/>
    <x:col min="7" max="7" width="8.890000343322754" hidden="0" customWidth="1"/>
    <x:col min="8" max="8" width="33.33000183105469" hidden="0" customWidth="1"/>
    <x:col min="9" max="9" width="27.780000686645508" hidden="0" customWidth="1"/>
    <x:col min="10" max="10" width="28.889999389648438" hidden="0" customWidth="1"/>
    <x:col min="11" max="11" width="11.109999656677246" hidden="0" customWidth="1"/>
  </x:cols>
  <x:sheetData>
    <x:row r="1" ht="34" customHeight="1">
      <x:c r="A1" s="3" t="str">
        <x:v>来源库 Sources</x:v>
      </x:c>
    </x:row>
    <x:row r="2" ht="30" customHeight="1">
      <x:c r="A2" s="7" t="str">
        <x:v>A1/A2优先；媒体只作补充。每条研究事实必须通过Source_ID关联，URL为纯文本以便审核。</x:v>
      </x:c>
    </x:row>
    <x:row r="3" ht="8" customHeight="1"/>
    <x:row r="4" ht="30" customHeight="1">
      <x:c r="A4" s="20" t="str">
        <x:v>source_id</x:v>
      </x:c>
      <x:c r="B4" s="44" t="str">
        <x:v>title</x:v>
      </x:c>
      <x:c r="C4" s="44" t="str">
        <x:v>publisher</x:v>
      </x:c>
      <x:c r="D4" s="44" t="str">
        <x:v>publication_date</x:v>
      </x:c>
      <x:c r="E4" s="44" t="str">
        <x:v>source_type</x:v>
      </x:c>
      <x:c r="F4" s="44" t="str">
        <x:v>authority_level</x:v>
      </x:c>
      <x:c r="G4" s="44" t="str">
        <x:v>is_primary</x:v>
      </x:c>
      <x:c r="H4" s="44" t="str">
        <x:v>url</x:v>
      </x:c>
      <x:c r="I4" s="44" t="str">
        <x:v>supports_summary</x:v>
      </x:c>
      <x:c r="J4" s="44" t="str">
        <x:v>limitations</x:v>
      </x:c>
      <x:c r="K4" s="21" t="str">
        <x:v>current_status</x:v>
      </x:c>
    </x:row>
    <x:row r="5">
      <x:c r="A5" s="35" t="str">
        <x:v>SRC-01</x:v>
      </x:c>
      <x:c r="B5" s="51" t="str">
        <x:v>在牛河梁进行拉网式排查 为红山文化申遗全力冲刺</x:v>
      </x:c>
      <x:c r="C5" s="51" t="str">
        <x:v>辽宁省文化和旅游厅 / 辽宁日报</x:v>
      </x:c>
      <x:c r="D5" s="77" t="n">
        <x:v>46086</x:v>
      </x:c>
      <x:c r="E5" s="51" t="str">
        <x:v>gov_release</x:v>
      </x:c>
      <x:c r="F5" s="51" t="str">
        <x:v>A2</x:v>
      </x:c>
      <x:c r="G5" s="74" t="b">
        <x:v>0</x:v>
      </x:c>
      <x:c r="H5" s="51" t="str">
        <x:v>https://whly.ln.gov.cn/whly/mtjj/2026030511221196726/index.shtml</x:v>
      </x:c>
      <x:c r="I5" s="51" t="str">
        <x:v>2026区域调查、第十三地点、玉器检测数据库</x:v>
      </x:c>
      <x:c r="J5" s="51" t="str">
        <x:v>媒体采访体裁；阶段性结论需保留限定词</x:v>
      </x:c>
      <x:c r="K5" s="36" t="str">
        <x:v>active</x:v>
      </x:c>
    </x:row>
    <x:row r="6">
      <x:c r="A6" s="37" t="str">
        <x:v>SRC-02</x:v>
      </x:c>
      <x:c r="B6" s="52" t="str">
        <x:v>牛河梁遗址第一地点台基发掘简报（《考古》2026年第1期）</x:v>
      </x:c>
      <x:c r="C6" s="52" t="str">
        <x:v>中国社会科学院考古研究所 / 《考古》</x:v>
      </x:c>
      <x:c r="D6" s="78" t="n">
        <x:v>46054</x:v>
      </x:c>
      <x:c r="E6" s="52" t="str">
        <x:v>excavation_report</x:v>
      </x:c>
      <x:c r="F6" s="52" t="str">
        <x:v>A1</x:v>
      </x:c>
      <x:c r="G6" s="75" t="b">
        <x:v>1</x:v>
      </x:c>
      <x:c r="H6" s="52" t="str">
        <x:v>https://kaogu.cssn.cn/xsqy/kycg/jbbg/202602/W020260228597873858401.pdf</x:v>
      </x:c>
      <x:c r="I6" s="52" t="str">
        <x:v>第一地点台基、2号台基尺寸与结构</x:v>
      </x:c>
      <x:c r="J6" s="52" t="str">
        <x:v>图版有版权；数据可重组，勿复制完整图版</x:v>
      </x:c>
      <x:c r="K6" s="38" t="str">
        <x:v>active</x:v>
      </x:c>
    </x:row>
    <x:row r="7">
      <x:c r="A7" s="37" t="str">
        <x:v>SRC-03</x:v>
      </x:c>
      <x:c r="B7" s="52" t="str">
        <x:v>牛河梁九台最新解读</x:v>
      </x:c>
      <x:c r="C7" s="52" t="str">
        <x:v>中国日报网转辽宁日报</x:v>
      </x:c>
      <x:c r="D7" s="78" t="n">
        <x:v>46182</x:v>
      </x:c>
      <x:c r="E7" s="52" t="str">
        <x:v>interview</x:v>
      </x:c>
      <x:c r="F7" s="52" t="str">
        <x:v>B1</x:v>
      </x:c>
      <x:c r="G7" s="75" t="b">
        <x:v>0</x:v>
      </x:c>
      <x:c r="H7" s="52" t="str">
        <x:v>https://ln.chinadaily.com.cn/a/202606/09/WS6a279e5da310942cc49b0bf6.html</x:v>
      </x:c>
      <x:c r="I7" s="52" t="str">
        <x:v>九台营建阶段与同时使用解读</x:v>
      </x:c>
      <x:c r="J7" s="52" t="str">
        <x:v>属于专家综合判断</x:v>
      </x:c>
      <x:c r="K7" s="38" t="str">
        <x:v>active</x:v>
      </x:c>
    </x:row>
    <x:row r="8">
      <x:c r="A8" s="37" t="str">
        <x:v>SRC-04</x:v>
      </x:c>
      <x:c r="B8" s="52" t="str">
        <x:v>全国十大考古新发现：牛河梁遗址</x:v>
      </x:c>
      <x:c r="C8" s="52" t="str">
        <x:v>辽宁省文化和旅游厅</x:v>
      </x:c>
      <x:c r="D8" s="78"/>
      <x:c r="E8" s="52" t="str">
        <x:v>gov_archive</x:v>
      </x:c>
      <x:c r="F8" s="52" t="str">
        <x:v>A2</x:v>
      </x:c>
      <x:c r="G8" s="75" t="b">
        <x:v>0</x:v>
      </x:c>
      <x:c r="H8" s="52" t="str">
        <x:v>https://whly.ln.gov.cn/whly/wlzt/lnww/qgsdkg/FCF6E28E91D248C2BF5119121DB4FB86/index.shtml</x:v>
      </x:c>
      <x:c r="I8" s="52" t="str">
        <x:v>发现、发掘、保护与重要节点</x:v>
      </x:c>
      <x:c r="J8" s="52" t="str">
        <x:v>网页更新日期需另核</x:v>
      </x:c>
      <x:c r="K8" s="38" t="str">
        <x:v>active</x:v>
      </x:c>
    </x:row>
    <x:row r="9">
      <x:c r="A9" s="37" t="str">
        <x:v>SRC-05</x:v>
      </x:c>
      <x:c r="B9" s="52" t="str">
        <x:v>牛河梁第一地点九台相关报道</x:v>
      </x:c>
      <x:c r="C9" s="52" t="str">
        <x:v>朝阳市人民政府转载央视</x:v>
      </x:c>
      <x:c r="D9" s="78" t="n">
        <x:v>45536</x:v>
      </x:c>
      <x:c r="E9" s="52" t="str">
        <x:v>media</x:v>
      </x:c>
      <x:c r="F9" s="52" t="str">
        <x:v>B1</x:v>
      </x:c>
      <x:c r="G9" s="75" t="b">
        <x:v>0</x:v>
      </x:c>
      <x:c r="H9" s="52" t="str">
        <x:v>https://www.chaoyang.gov.cn/html/CYSZF/202409/0172705538617338.html</x:v>
      </x:c>
      <x:c r="I9" s="52" t="str">
        <x:v>九台与面积口径</x:v>
      </x:c>
      <x:c r="J9" s="52" t="str">
        <x:v>近4万/6万/10万定义需分开</x:v>
      </x:c>
      <x:c r="K9" s="38" t="str">
        <x:v>active</x:v>
      </x:c>
    </x:row>
    <x:row r="10">
      <x:c r="A10" s="37" t="str">
        <x:v>SRC-06</x:v>
      </x:c>
      <x:c r="B10" s="52" t="str">
        <x:v>牛河梁台基与规划专家访谈</x:v>
      </x:c>
      <x:c r="C10" s="52" t="str">
        <x:v>朝阳市自然资源局</x:v>
      </x:c>
      <x:c r="D10" s="78" t="n">
        <x:v>45536</x:v>
      </x:c>
      <x:c r="E10" s="52" t="str">
        <x:v>expert_interview</x:v>
      </x:c>
      <x:c r="F10" s="52" t="str">
        <x:v>B1</x:v>
      </x:c>
      <x:c r="G10" s="75" t="b">
        <x:v>0</x:v>
      </x:c>
      <x:c r="H10" s="52" t="str">
        <x:v>https://zrzyj.chaoyang.gov.cn/html/ZRZYJ/202409/0172587053112122.html</x:v>
      </x:c>
      <x:c r="I10" s="52" t="str">
        <x:v>台基关系、功能未知与工程解释</x:v>
      </x:c>
      <x:c r="J10" s="52" t="str">
        <x:v>解释性内容需标INF</x:v>
      </x:c>
      <x:c r="K10" s="38" t="str">
        <x:v>active</x:v>
      </x:c>
    </x:row>
    <x:row r="11">
      <x:c r="A11" s="37" t="str">
        <x:v>SRC-07</x:v>
      </x:c>
      <x:c r="B11" s="52" t="str">
        <x:v>红山女神像与牛河梁资料</x:v>
      </x:c>
      <x:c r="C11" s="52" t="str">
        <x:v>人民日报海外版</x:v>
      </x:c>
      <x:c r="D11" s="78" t="n">
        <x:v>45510</x:v>
      </x:c>
      <x:c r="E11" s="52" t="str">
        <x:v>media</x:v>
      </x:c>
      <x:c r="F11" s="52" t="str">
        <x:v>B1</x:v>
      </x:c>
      <x:c r="G11" s="75" t="b">
        <x:v>0</x:v>
      </x:c>
      <x:c r="H11" s="52" t="str">
        <x:v>https://paper.people.com.cn/rmrbhwb/html/2024-08/06/content_26073127.htm</x:v>
      </x:c>
      <x:c r="I11" s="52" t="str">
        <x:v>年代框架、泥塑头像尺寸材料</x:v>
      </x:c>
      <x:c r="J11" s="52" t="str">
        <x:v>展陈复制件状态需随机构资料复核</x:v>
      </x:c>
      <x:c r="K11" s="38" t="str">
        <x:v>active</x:v>
      </x:c>
    </x:row>
    <x:row r="12">
      <x:c r="A12" s="37" t="str">
        <x:v>SRC-08</x:v>
      </x:c>
      <x:c r="B12" s="52" t="str">
        <x:v>牛河梁未解之谜专题</x:v>
      </x:c>
      <x:c r="C12" s="52" t="str">
        <x:v>新华网</x:v>
      </x:c>
      <x:c r="D12" s="78" t="n">
        <x:v>45525</x:v>
      </x:c>
      <x:c r="E12" s="52" t="str">
        <x:v>media</x:v>
      </x:c>
      <x:c r="F12" s="52" t="str">
        <x:v>B1</x:v>
      </x:c>
      <x:c r="G12" s="75" t="b">
        <x:v>0</x:v>
      </x:c>
      <x:c r="H12" s="52" t="str">
        <x:v>https://www.news.cn/politics/20240821/3f813f81373240eea2540e46fe9c8730/c.html</x:v>
      </x:c>
      <x:c r="I12" s="52" t="str">
        <x:v>女神庙与身份解释边界</x:v>
      </x:c>
      <x:c r="J12" s="52" t="str">
        <x:v>专题体裁，不作为唯一尺寸源</x:v>
      </x:c>
      <x:c r="K12" s="38" t="str">
        <x:v>active</x:v>
      </x:c>
    </x:row>
    <x:row r="13">
      <x:c r="A13" s="37" t="str">
        <x:v>SRC-09</x:v>
      </x:c>
      <x:c r="B13" s="52" t="str">
        <x:v>礼出红山</x:v>
      </x:c>
      <x:c r="C13" s="52" t="str">
        <x:v>中国社会科学网</x:v>
      </x:c>
      <x:c r="D13" s="78" t="n">
        <x:v>44770</x:v>
      </x:c>
      <x:c r="E13" s="52" t="str">
        <x:v>academic_outreach</x:v>
      </x:c>
      <x:c r="F13" s="52" t="str">
        <x:v>A2</x:v>
      </x:c>
      <x:c r="G13" s="75" t="b">
        <x:v>0</x:v>
      </x:c>
      <x:c r="H13" s="52" t="str">
        <x:v>https://cssn.cn/kgxc/kgxc_kgsb/202207/t20220728_5431503.shtml</x:v>
      </x:c>
      <x:c r="I13" s="52" t="str">
        <x:v>N2Z3三环与红山礼仪</x:v>
      </x:c>
      <x:c r="J13" s="52" t="str">
        <x:v>天文/礼制解读需标解释</x:v>
      </x:c>
      <x:c r="K13" s="38" t="str">
        <x:v>active</x:v>
      </x:c>
    </x:row>
    <x:row r="14">
      <x:c r="A14" s="37" t="str">
        <x:v>SRC-10</x:v>
      </x:c>
      <x:c r="B14" s="52" t="str">
        <x:v>牛河梁墓葬与玉器统计讲座记录</x:v>
      </x:c>
      <x:c r="C14" s="52" t="str">
        <x:v>中国科学院大学</x:v>
      </x:c>
      <x:c r="D14" s="78" t="n">
        <x:v>44825</x:v>
      </x:c>
      <x:c r="E14" s="52" t="str">
        <x:v>lecture_record</x:v>
      </x:c>
      <x:c r="F14" s="52" t="str">
        <x:v>B2</x:v>
      </x:c>
      <x:c r="G14" s="75" t="b">
        <x:v>0</x:v>
      </x:c>
      <x:c r="H14" s="52" t="str">
        <x:v>https://renwen.ucas.ac.cn/index.php/rczp/2015-12-09-08-37-4/55672-2022-09-21-01-06-37</x:v>
      </x:c>
      <x:c r="I14" s="52" t="str">
        <x:v>66墓、地点分布、分级与玉器统计</x:v>
      </x:c>
      <x:c r="J14" s="52" t="str">
        <x:v>讲座记录；最好与正式论文交叉核验</x:v>
      </x:c>
      <x:c r="K14" s="38" t="str">
        <x:v>active</x:v>
      </x:c>
    </x:row>
    <x:row r="15">
      <x:c r="A15" s="37" t="str">
        <x:v>SRC-11</x:v>
      </x:c>
      <x:c r="B15" s="52" t="str">
        <x:v>Sites of Hongshan Culture — Tentative List Ref.5804</x:v>
      </x:c>
      <x:c r="C15" s="52" t="str">
        <x:v>UNESCO World Heritage Centre</x:v>
      </x:c>
      <x:c r="D15" s="78" t="n">
        <x:v>41303</x:v>
      </x:c>
      <x:c r="E15" s="52" t="str">
        <x:v>official_register</x:v>
      </x:c>
      <x:c r="F15" s="52" t="str">
        <x:v>A1</x:v>
      </x:c>
      <x:c r="G15" s="75" t="b">
        <x:v>1</x:v>
      </x:c>
      <x:c r="H15" s="52" t="str">
        <x:v>https://whc.unesco.org/en/tentativelists/5804/</x:v>
      </x:c>
      <x:c r="I15" s="52" t="str">
        <x:v>世界遗产预备名单状态、系列构成和标准</x:v>
      </x:c>
      <x:c r="J15" s="52" t="str">
        <x:v>2013文本中的考古认识可被新调查更新</x:v>
      </x:c>
      <x:c r="K15" s="38" t="str">
        <x:v>active</x:v>
      </x:c>
    </x:row>
    <x:row r="16">
      <x:c r="A16" s="37" t="str">
        <x:v>SRC-12</x:v>
      </x:c>
      <x:c r="B16" s="52" t="str">
        <x:v>辽宁省牛河梁遗址保护条例</x:v>
      </x:c>
      <x:c r="C16" s="52" t="str">
        <x:v>辽宁省文化和旅游厅</x:v>
      </x:c>
      <x:c r="D16" s="78" t="n">
        <x:v>46017</x:v>
      </x:c>
      <x:c r="E16" s="52" t="str">
        <x:v>law</x:v>
      </x:c>
      <x:c r="F16" s="52" t="str">
        <x:v>A1</x:v>
      </x:c>
      <x:c r="G16" s="75" t="b">
        <x:v>1</x:v>
      </x:c>
      <x:c r="H16" s="52" t="str">
        <x:v>https://whly.ln.gov.cn/whly/zfxxgk/fdzdgknr/lzyj/dfxfg/2025122609264496858/index.shtml</x:v>
      </x:c>
      <x:c r="I16" s="52" t="str">
        <x:v>法定保护、数字化、拍摄与利用边界</x:v>
      </x:c>
      <x:c r="J16" s="52" t="str">
        <x:v>自2026-01-01施行</x:v>
      </x:c>
      <x:c r="K16" s="38" t="str">
        <x:v>active</x:v>
      </x:c>
    </x:row>
    <x:row r="17">
      <x:c r="A17" s="37" t="str">
        <x:v>SRC-13</x:v>
      </x:c>
      <x:c r="B17" s="52" t="str">
        <x:v>牛河梁红山文化遗址保护规划（2025—2040）征求意见公告</x:v>
      </x:c>
      <x:c r="C17" s="52" t="str">
        <x:v>朝阳市文旅广电局</x:v>
      </x:c>
      <x:c r="D17" s="78" t="n">
        <x:v>46161</x:v>
      </x:c>
      <x:c r="E17" s="52" t="str">
        <x:v>draft_notice</x:v>
      </x:c>
      <x:c r="F17" s="52" t="str">
        <x:v>A2</x:v>
      </x:c>
      <x:c r="G17" s="75" t="b">
        <x:v>1</x:v>
      </x:c>
      <x:c r="H17" s="52" t="str">
        <x:v>https://wlgdj.chaoyang.gov.cn/html/CYWLG/202605/0177917473100994.html</x:v>
      </x:c>
      <x:c r="I17" s="52" t="str">
        <x:v>规划草案状态</x:v>
      </x:c>
      <x:c r="J17" s="52" t="str">
        <x:v>截至2026-07-14未核到正式批准公告</x:v>
      </x:c>
      <x:c r="K17" s="38" t="str">
        <x:v>draft</x:v>
      </x:c>
    </x:row>
    <x:row r="18">
      <x:c r="A18" s="37" t="str">
        <x:v>SRC-14</x:v>
      </x:c>
      <x:c r="B18" s="52" t="str">
        <x:v>何以文明·牛河梁数字展</x:v>
      </x:c>
      <x:c r="C18" s="52" t="str">
        <x:v>央视央博</x:v>
      </x:c>
      <x:c r="D18" s="78" t="n">
        <x:v>45389</x:v>
      </x:c>
      <x:c r="E18" s="52" t="str">
        <x:v>competitor_reference</x:v>
      </x:c>
      <x:c r="F18" s="52" t="str">
        <x:v>B1</x:v>
      </x:c>
      <x:c r="G18" s="75" t="b">
        <x:v>0</x:v>
      </x:c>
      <x:c r="H18" s="52" t="str">
        <x:v>https://yangbo.cctv.com/2024/04/07/ARTIs1hYUe52Jjaj23WGKSdA240407.shtml</x:v>
      </x:c>
      <x:c r="I18" s="52" t="str">
        <x:v>竞品3D复原、小游戏、部分尺寸</x:v>
      </x:c>
      <x:c r="J18" s="52" t="str">
        <x:v>含宣传性/争议性强表述，不直接复制结论</x:v>
      </x:c>
      <x:c r="K18" s="38" t="str">
        <x:v>active</x:v>
      </x:c>
    </x:row>
    <x:row r="19">
      <x:c r="A19" s="37" t="str">
        <x:v>SRC-15</x:v>
      </x:c>
      <x:c r="B19" s="52" t="str">
        <x:v>红山文化</x:v>
      </x:c>
      <x:c r="C19" s="52" t="str">
        <x:v>中国大百科全书</x:v>
      </x:c>
      <x:c r="D19" s="78"/>
      <x:c r="E19" s="52" t="str">
        <x:v>reference</x:v>
      </x:c>
      <x:c r="F19" s="52" t="str">
        <x:v>B1</x:v>
      </x:c>
      <x:c r="G19" s="75" t="b">
        <x:v>0</x:v>
      </x:c>
      <x:c r="H19" s="52" t="str">
        <x:v>https://www.zgbk.com/ecph/words?Name=%E7%BA%A2%E5%B1%B1%E6%96%87%E5%8C%96&amp;SiteID=1</x:v>
      </x:c>
      <x:c r="I19" s="52" t="str">
        <x:v>红山文化年代与分布概述</x:v>
      </x:c>
      <x:c r="J19" s="52" t="str">
        <x:v>起止年代是百科口径；需与碳十四研究并置</x:v>
      </x:c>
      <x:c r="K19" s="38" t="str">
        <x:v>active</x:v>
      </x:c>
    </x:row>
    <x:row r="20">
      <x:c r="A20" s="37" t="str">
        <x:v>SRC-16</x:v>
      </x:c>
      <x:c r="B20" s="52" t="str">
        <x:v>Demographic and climatic changes in the West Liao River Basin</x:v>
      </x:c>
      <x:c r="C20" s="52" t="str">
        <x:v>Nature Communications</x:v>
      </x:c>
      <x:c r="D20" s="78" t="n">
        <x:v>43725</x:v>
      </x:c>
      <x:c r="E20" s="52" t="str">
        <x:v>peer_reviewed</x:v>
      </x:c>
      <x:c r="F20" s="52" t="str">
        <x:v>A2</x:v>
      </x:c>
      <x:c r="G20" s="75" t="b">
        <x:v>1</x:v>
      </x:c>
      <x:c r="H20" s="52" t="str">
        <x:v>https://www.nature.com/articles/s41467-019-12138-0</x:v>
      </x:c>
      <x:c r="I20" s="52" t="str">
        <x:v>627个碳十四数据、礼仪中心年代、人口与生业转型</x:v>
      </x:c>
      <x:c r="J20" s="52" t="str">
        <x:v>概率峰值不是文化完整起止边界</x:v>
      </x:c>
      <x:c r="K20" s="38" t="str">
        <x:v>active</x:v>
      </x:c>
    </x:row>
    <x:row r="21">
      <x:c r="A21" s="37" t="str">
        <x:v>SRC-17</x:v>
      </x:c>
      <x:c r="B21" s="52" t="str">
        <x:v>Early mixed farming and sedentism in Northeast China</x:v>
      </x:c>
      <x:c r="C21" s="52" t="str">
        <x:v>PLOS ONE</x:v>
      </x:c>
      <x:c r="D21" s="78" t="n">
        <x:v>43642</x:v>
      </x:c>
      <x:c r="E21" s="52" t="str">
        <x:v>peer_reviewed</x:v>
      </x:c>
      <x:c r="F21" s="52" t="str">
        <x:v>A2</x:v>
      </x:c>
      <x:c r="G21" s="75" t="b">
        <x:v>1</x:v>
      </x:c>
      <x:c r="H21" s="52" t="str">
        <x:v>https://journals.plos.org/plosone/article?id=10.1371/journal.pone.0218751</x:v>
      </x:c>
      <x:c r="I21" s="52" t="str">
        <x:v>约7.9千年前定居/植物利用与兴隆洼聚落实例</x:v>
      </x:c>
      <x:c r="J21" s="52" t="str">
        <x:v>具体遗址样本不可代表整个东北</x:v>
      </x:c>
      <x:c r="K21" s="38" t="str">
        <x:v>active</x:v>
      </x:c>
    </x:row>
    <x:row r="22">
      <x:c r="A22" s="37" t="str">
        <x:v>SRC-18</x:v>
      </x:c>
      <x:c r="B22" s="52" t="str">
        <x:v>小河沿文化</x:v>
      </x:c>
      <x:c r="C22" s="52" t="str">
        <x:v>中国大百科全书</x:v>
      </x:c>
      <x:c r="D22" s="78"/>
      <x:c r="E22" s="52" t="str">
        <x:v>reference</x:v>
      </x:c>
      <x:c r="F22" s="52" t="str">
        <x:v>B1</x:v>
      </x:c>
      <x:c r="G22" s="75" t="b">
        <x:v>0</x:v>
      </x:c>
      <x:c r="H22" s="52" t="str">
        <x:v>https://www.zgbk.com/ecph/words?Name=%E5%B0%8F%E6%B2%B3%E6%B2%BF%E6%96%87%E5%8C%96&amp;SiteID=1</x:v>
      </x:c>
      <x:c r="I22" s="52" t="str">
        <x:v>小河沿文化年代与分布</x:v>
      </x:c>
      <x:c r="J22" s="52" t="str">
        <x:v>与红山宽年代存在重叠，不作瞬时接替</x:v>
      </x:c>
      <x:c r="K22" s="38" t="str">
        <x:v>active</x:v>
      </x:c>
    </x:row>
    <x:row r="23">
      <x:c r="A23" s="37" t="str">
        <x:v>SRC-19</x:v>
      </x:c>
      <x:c r="B23" s="52" t="str">
        <x:v>红山文化考古发现与研究史</x:v>
      </x:c>
      <x:c r="C23" s="52" t="str">
        <x:v>中国社会科学网</x:v>
      </x:c>
      <x:c r="D23" s="78" t="n">
        <x:v>44858</x:v>
      </x:c>
      <x:c r="E23" s="52" t="str">
        <x:v>academic_history</x:v>
      </x:c>
      <x:c r="F23" s="52" t="str">
        <x:v>B1</x:v>
      </x:c>
      <x:c r="G23" s="75" t="b">
        <x:v>0</x:v>
      </x:c>
      <x:c r="H23" s="52" t="str">
        <x:v>https://www.cssn.cn/lsx/lsx_kgx/202210/t20221024_5552755.shtml</x:v>
      </x:c>
      <x:c r="I23" s="52" t="str">
        <x:v>1906—1956调查、发掘与命名史</x:v>
      </x:c>
      <x:c r="J23" s="52" t="str">
        <x:v>早期族属与年代判断已被修正</x:v>
      </x:c>
      <x:c r="K23" s="38" t="str">
        <x:v>active</x:v>
      </x:c>
    </x:row>
    <x:row r="24">
      <x:c r="A24" s="37" t="str">
        <x:v>SRC-20</x:v>
      </x:c>
      <x:c r="B24" s="52" t="str">
        <x:v>Regional human activity and environmental change in the Yan-Liao region</x:v>
      </x:c>
      <x:c r="C24" s="52" t="str">
        <x:v>Journal of Geographical Sciences</x:v>
      </x:c>
      <x:c r="D24" s="78" t="n">
        <x:v>43466</x:v>
      </x:c>
      <x:c r="E24" s="52" t="str">
        <x:v>peer_reviewed</x:v>
      </x:c>
      <x:c r="F24" s="52" t="str">
        <x:v>A2</x:v>
      </x:c>
      <x:c r="G24" s="75" t="b">
        <x:v>1</x:v>
      </x:c>
      <x:c r="H24" s="52" t="str">
        <x:v>https://link.springer.com/article/10.1007/s11442-019-1609-y</x:v>
      </x:c>
      <x:c r="I24" s="52" t="str">
        <x:v>燕辽区域遗址数量、密度与复杂度模型</x:v>
      </x:c>
      <x:c r="J24" s="52" t="str">
        <x:v>区域模型不能替代单遗址结论</x:v>
      </x:c>
      <x:c r="K24" s="38" t="str">
        <x:v>active</x:v>
      </x:c>
    </x:row>
    <x:row r="25">
      <x:c r="A25" s="37" t="str">
        <x:v>TECH-01</x:v>
      </x:c>
      <x:c r="B25" s="52" t="str">
        <x:v>Progressive Web Apps</x:v>
      </x:c>
      <x:c r="C25" s="52" t="str">
        <x:v>MDN</x:v>
      </x:c>
      <x:c r="D25" s="78"/>
      <x:c r="E25" s="52" t="str">
        <x:v>technical_docs</x:v>
      </x:c>
      <x:c r="F25" s="52" t="str">
        <x:v>A1</x:v>
      </x:c>
      <x:c r="G25" s="75" t="b">
        <x:v>1</x:v>
      </x:c>
      <x:c r="H25" s="52" t="str">
        <x:v>https://developer.mozilla.org/en-US/docs/Web/Progressive_web_apps</x:v>
      </x:c>
      <x:c r="I25" s="52" t="str">
        <x:v>PWA能力与最佳实践</x:v>
      </x:c>
      <x:c r="J25" s="52" t="str">
        <x:v>技术文档会更新</x:v>
      </x:c>
      <x:c r="K25" s="38" t="str">
        <x:v>active</x:v>
      </x:c>
    </x:row>
    <x:row r="26">
      <x:c r="A26" s="37" t="str">
        <x:v>TECH-02</x:v>
      </x:c>
      <x:c r="B26" s="52" t="str">
        <x:v>Making PWAs installable</x:v>
      </x:c>
      <x:c r="C26" s="52" t="str">
        <x:v>MDN</x:v>
      </x:c>
      <x:c r="D26" s="78"/>
      <x:c r="E26" s="52" t="str">
        <x:v>technical_docs</x:v>
      </x:c>
      <x:c r="F26" s="52" t="str">
        <x:v>A1</x:v>
      </x:c>
      <x:c r="G26" s="75" t="b">
        <x:v>1</x:v>
      </x:c>
      <x:c r="H26" s="52" t="str">
        <x:v>https://developer.mozilla.org/en-US/docs/Web/Progressive_web_apps/Guides/Making_PWAs_installable</x:v>
      </x:c>
      <x:c r="I26" s="52" t="str">
        <x:v>安装条件与平台差异</x:v>
      </x:c>
      <x:c r="J26" s="52" t="str">
        <x:v>安装不等于离线</x:v>
      </x:c>
      <x:c r="K26" s="38" t="str">
        <x:v>active</x:v>
      </x:c>
    </x:row>
    <x:row r="27">
      <x:c r="A27" s="37" t="str">
        <x:v>TECH-03</x:v>
      </x:c>
      <x:c r="B27" s="52" t="str">
        <x:v>Service workers</x:v>
      </x:c>
      <x:c r="C27" s="52" t="str">
        <x:v>web.dev</x:v>
      </x:c>
      <x:c r="D27" s="78"/>
      <x:c r="E27" s="52" t="str">
        <x:v>technical_docs</x:v>
      </x:c>
      <x:c r="F27" s="52" t="str">
        <x:v>A1</x:v>
      </x:c>
      <x:c r="G27" s="75" t="b">
        <x:v>1</x:v>
      </x:c>
      <x:c r="H27" s="52" t="str">
        <x:v>https://web.dev/learn/pwa/service-workers</x:v>
      </x:c>
      <x:c r="I27" s="52" t="str">
        <x:v>缓存、离线和首次访问边界</x:v>
      </x:c>
      <x:c r="J27" s="52" t="str">
        <x:v>需主动配置缓存策略</x:v>
      </x:c>
      <x:c r="K27" s="38" t="str">
        <x:v>active</x:v>
      </x:c>
    </x:row>
    <x:row r="28">
      <x:c r="A28" s="37" t="str">
        <x:v>TECH-04</x:v>
      </x:c>
      <x:c r="B28" s="52" t="str">
        <x:v>WebXR Device API</x:v>
      </x:c>
      <x:c r="C28" s="52" t="str">
        <x:v>MDN</x:v>
      </x:c>
      <x:c r="D28" s="78"/>
      <x:c r="E28" s="52" t="str">
        <x:v>technical_docs</x:v>
      </x:c>
      <x:c r="F28" s="52" t="str">
        <x:v>A1</x:v>
      </x:c>
      <x:c r="G28" s="75" t="b">
        <x:v>1</x:v>
      </x:c>
      <x:c r="H28" s="52" t="str">
        <x:v>https://developer.mozilla.org/en-US/docs/Web/API/WebXR_Device_API</x:v>
      </x:c>
      <x:c r="I28" s="52" t="str">
        <x:v>WebXR有限可用、实验性、HTTPS</x:v>
      </x:c>
      <x:c r="J28" s="52" t="str">
        <x:v>兼容性快速变化</x:v>
      </x:c>
      <x:c r="K28" s="38" t="str">
        <x:v>active</x:v>
      </x:c>
    </x:row>
    <x:row r="29">
      <x:c r="A29" s="37" t="str">
        <x:v>TECH-05</x:v>
      </x:c>
      <x:c r="B29" s="52" t="str">
        <x:v>Augmented Reality</x:v>
      </x:c>
      <x:c r="C29" s="52" t="str">
        <x:v>model-viewer</x:v>
      </x:c>
      <x:c r="D29" s="78"/>
      <x:c r="E29" s="52" t="str">
        <x:v>technical_docs</x:v>
      </x:c>
      <x:c r="F29" s="52" t="str">
        <x:v>A1</x:v>
      </x:c>
      <x:c r="G29" s="75" t="b">
        <x:v>1</x:v>
      </x:c>
      <x:c r="H29" s="52" t="str">
        <x:v>https://modelviewer.dev/examples/augmentedreality/</x:v>
      </x:c>
      <x:c r="I29" s="52" t="str">
        <x:v>WebXR/Scene Viewer/Quick Look与降级</x:v>
      </x:c>
      <x:c r="J29" s="52" t="str">
        <x:v>原生查看器不保留复杂网页UI</x:v>
      </x:c>
      <x:c r="K29" s="38" t="str">
        <x:v>active</x:v>
      </x:c>
    </x:row>
    <x:row r="30">
      <x:c r="A30" s="37" t="str">
        <x:v>TECH-06</x:v>
      </x:c>
      <x:c r="B30" s="52" t="str">
        <x:v>WebXR requirements</x:v>
      </x:c>
      <x:c r="C30" s="52" t="str">
        <x:v>Google ARCore</x:v>
      </x:c>
      <x:c r="D30" s="78"/>
      <x:c r="E30" s="52" t="str">
        <x:v>technical_docs</x:v>
      </x:c>
      <x:c r="F30" s="52" t="str">
        <x:v>A1</x:v>
      </x:c>
      <x:c r="G30" s="75" t="b">
        <x:v>1</x:v>
      </x:c>
      <x:c r="H30" s="52" t="str">
        <x:v>https://developers.google.com/ar/develop/webxr/requirements</x:v>
      </x:c>
      <x:c r="I30" s="52" t="str">
        <x:v>Android WebAR设备要求</x:v>
      </x:c>
      <x:c r="J30" s="52" t="str">
        <x:v>模拟器不支持</x:v>
      </x:c>
      <x:c r="K30" s="38" t="str">
        <x:v>active</x:v>
      </x:c>
    </x:row>
    <x:row r="31">
      <x:c r="A31" s="37" t="str">
        <x:v>TECH-07</x:v>
      </x:c>
      <x:c r="B31" s="52" t="str">
        <x:v>Full Stack FastAPI Template</x:v>
      </x:c>
      <x:c r="C31" s="52" t="str">
        <x:v>FastAPI</x:v>
      </x:c>
      <x:c r="D31" s="78"/>
      <x:c r="E31" s="52" t="str">
        <x:v>technical_docs</x:v>
      </x:c>
      <x:c r="F31" s="52" t="str">
        <x:v>A1</x:v>
      </x:c>
      <x:c r="G31" s="75" t="b">
        <x:v>1</x:v>
      </x:c>
      <x:c r="H31" s="52" t="str">
        <x:v>https://fastapi.tiangolo.com/project-generation/</x:v>
      </x:c>
      <x:c r="I31" s="52" t="str">
        <x:v>React+FastAPI全栈架构参考</x:v>
      </x:c>
      <x:c r="J31" s="52" t="str">
        <x:v>非本项目直接模板要求</x:v>
      </x:c>
      <x:c r="K31" s="38" t="str">
        <x:v>active</x:v>
      </x:c>
    </x:row>
    <x:row r="32">
      <x:c r="A32" s="39" t="str">
        <x:v>TECH-08</x:v>
      </x:c>
      <x:c r="B32" s="53" t="str">
        <x:v>Appropriate Uses For SQLite</x:v>
      </x:c>
      <x:c r="C32" s="53" t="str">
        <x:v>SQLite</x:v>
      </x:c>
      <x:c r="D32" s="79"/>
      <x:c r="E32" s="53" t="str">
        <x:v>technical_docs</x:v>
      </x:c>
      <x:c r="F32" s="53" t="str">
        <x:v>A1</x:v>
      </x:c>
      <x:c r="G32" s="76" t="b">
        <x:v>1</x:v>
      </x:c>
      <x:c r="H32" s="53" t="str">
        <x:v>https://www.sqlite.org/whentouse.html</x:v>
      </x:c>
      <x:c r="I32" s="53" t="str">
        <x:v>SQLite适用范围与并发边界</x:v>
      </x:c>
      <x:c r="J32" s="53" t="str">
        <x:v>高并发/多实例需迁移</x:v>
      </x:c>
      <x:c r="K32" s="40" t="str">
        <x:v>active</x:v>
      </x:c>
    </x:row>
  </x:sheetData>
  <x:mergeCells>
    <x:mergeCell ref="A1:K1"/>
    <x:mergeCell ref="A2:K2"/>
  </x:mergeCells>
  <x:dataValidations count="2">
    <x:dataValidation type="list" sqref="G5:G200">
      <x:formula1>"true,false"</x:formula1>
    </x:dataValidation>
    <x:dataValidation type="list" sqref="K5:K200">
      <x:formula1>"active,draft,superseded,inaccessible"</x:formula1>
    </x:dataValidation>
  </x:dataValidations>
  <x:pageMargins left="0.7" right="0.7" top="0.75" bottom="0.75" header="0.3" footer="0.3"/>
  <x:tableParts count="1">
    <x:tablePart xmlns:r="http://schemas.openxmlformats.org/officeDocument/2006/relationships" r:id="R4e19a90ec8e34b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329999923706055" hidden="0" customWidth="1"/>
    <x:col min="3" max="3" width="10" hidden="0" customWidth="1"/>
    <x:col min="4" max="4" width="36.66999816894531" hidden="0" customWidth="1"/>
    <x:col min="5" max="5" width="28.889999389648438" hidden="0" customWidth="1"/>
    <x:col min="6" max="6" width="10" hidden="0" customWidth="1"/>
    <x:col min="7" max="7" width="10" hidden="0" customWidth="1"/>
    <x:col min="8" max="8" width="8.329999923706055" hidden="0" customWidth="1"/>
    <x:col min="9" max="9" width="20" hidden="0" customWidth="1"/>
    <x:col min="10" max="10" width="10.5600004196167" hidden="0" customWidth="1"/>
    <x:col min="11" max="11" width="10" hidden="0" customWidth="1"/>
    <x:col min="12" max="12" width="11.109999656677246" hidden="0" customWidth="1"/>
    <x:col min="13" max="13" width="17.780000686645508" hidden="0" customWidth="1"/>
    <x:col min="14" max="14" width="28.889999389648438" hidden="0" customWidth="1"/>
    <x:col min="15" max="15" width="10" hidden="0" customWidth="1"/>
    <x:col min="16" max="16" width="12.220000267028809" hidden="0" customWidth="1"/>
  </x:cols>
  <x:sheetData>
    <x:row r="1" ht="34" customHeight="1">
      <x:c r="A1" s="3" t="str">
        <x:v>事实陈述库 Claims</x:v>
      </x:c>
    </x:row>
    <x:row r="2" ht="30" customHeight="1">
      <x:c r="A2" s="7" t="str">
        <x:v>开发真源：每个数字同时保存范围、证据等级、限定词、禁用改写、来源和核验日期。</x:v>
      </x:c>
    </x:row>
    <x:row r="3" ht="8" customHeight="1"/>
    <x:row r="4" ht="30" customHeight="1">
      <x:c r="A4" s="20" t="str">
        <x:v>claim_id</x:v>
      </x:c>
      <x:c r="B4" s="44" t="str">
        <x:v>entity_id</x:v>
      </x:c>
      <x:c r="C4" s="44" t="str">
        <x:v>topic</x:v>
      </x:c>
      <x:c r="D4" s="44" t="str">
        <x:v>claim_text_full</x:v>
      </x:c>
      <x:c r="E4" s="44" t="str">
        <x:v>safe_copy_cn</x:v>
      </x:c>
      <x:c r="F4" s="44" t="str">
        <x:v>range_min</x:v>
      </x:c>
      <x:c r="G4" s="44" t="str">
        <x:v>range_max</x:v>
      </x:c>
      <x:c r="H4" s="44" t="str">
        <x:v>unit</x:v>
      </x:c>
      <x:c r="I4" s="44" t="str">
        <x:v>measurement_scope</x:v>
      </x:c>
      <x:c r="J4" s="44" t="str">
        <x:v>evidence_class</x:v>
      </x:c>
      <x:c r="K4" s="44" t="str">
        <x:v>confidence</x:v>
      </x:c>
      <x:c r="L4" s="44" t="str">
        <x:v>claim_status</x:v>
      </x:c>
      <x:c r="M4" s="44" t="str">
        <x:v>required_qualifier</x:v>
      </x:c>
      <x:c r="N4" s="44" t="str">
        <x:v>forbidden_rephrasing</x:v>
      </x:c>
      <x:c r="O4" s="44" t="str">
        <x:v>source_id</x:v>
      </x:c>
      <x:c r="P4" s="21" t="str">
        <x:v>last_verified_at</x:v>
      </x:c>
    </x:row>
    <x:row r="5">
      <x:c r="A5" s="35" t="str">
        <x:v>CLM-001</x:v>
      </x:c>
      <x:c r="B5" s="51" t="str">
        <x:v>NHL-SG</x:v>
      </x:c>
      <x:c r="C5" s="51" t="str">
        <x:v>年代</x:v>
      </x:c>
      <x:c r="D5" s="51" t="str">
        <x:v>古国时代第一阶段常用框架为距今约5800—5200年。</x:v>
      </x:c>
      <x:c r="E5" s="51" t="str">
        <x:v>距今约5800—5200年｜阶段框架，不是单一年份</x:v>
      </x:c>
      <x:c r="F5" s="51" t="n">
        <x:v>5800</x:v>
      </x:c>
      <x:c r="G5" s="51" t="n">
        <x:v>5200</x:v>
      </x:c>
      <x:c r="H5" s="51" t="str">
        <x:v>年BP</x:v>
      </x:c>
      <x:c r="I5" s="51" t="str">
        <x:v>阶段框架</x:v>
      </x:c>
      <x:c r="J5" s="51" t="str">
        <x:v>SYN</x:v>
      </x:c>
      <x:c r="K5" s="51" t="str">
        <x:v>A2</x:v>
      </x:c>
      <x:c r="L5" s="51" t="str">
        <x:v>current</x:v>
      </x:c>
      <x:c r="M5" s="51" t="str">
        <x:v>约；框架</x:v>
      </x:c>
      <x:c r="N5" s="51" t="str">
        <x:v>所有遗迹都建于5800年前</x:v>
      </x:c>
      <x:c r="O5" s="51" t="str">
        <x:v>SRC-07</x:v>
      </x:c>
      <x:c r="P5" s="80" t="n">
        <x:v>46217</x:v>
      </x:c>
    </x:row>
    <x:row r="6">
      <x:c r="A6" s="37" t="str">
        <x:v>CLM-002</x:v>
      </x:c>
      <x:c r="B6" s="52" t="str">
        <x:v>NHL-SG</x:v>
      </x:c>
      <x:c r="C6" s="52" t="str">
        <x:v>发现史</x:v>
      </x:c>
      <x:c r="D6" s="52" t="str">
        <x:v>牛河梁遗址1981年系统发现，1983年开始正式发掘；第十六地点1979年已有局部发现。</x:v>
      </x:c>
      <x:c r="E6" s="52" t="str">
        <x:v>1981系统发现｜1983正式发掘</x:v>
      </x:c>
      <x:c r="F6" s="52"/>
      <x:c r="G6" s="52"/>
      <x:c r="H6" s="52" t="str"/>
      <x:c r="I6" s="52" t="str">
        <x:v>发现/发掘节点</x:v>
      </x:c>
      <x:c r="J6" s="52" t="str">
        <x:v>OBS</x:v>
      </x:c>
      <x:c r="K6" s="52" t="str">
        <x:v>A2</x:v>
      </x:c>
      <x:c r="L6" s="52" t="str">
        <x:v>current</x:v>
      </x:c>
      <x:c r="M6" s="52" t="str">
        <x:v>区分局部与整体</x:v>
      </x:c>
      <x:c r="N6" s="52" t="str">
        <x:v>整个遗址1979年发现</x:v>
      </x:c>
      <x:c r="O6" s="52" t="str">
        <x:v>SRC-04</x:v>
      </x:c>
      <x:c r="P6" s="81" t="n">
        <x:v>46217</x:v>
      </x:c>
    </x:row>
    <x:row r="7">
      <x:c r="A7" s="37" t="str">
        <x:v>CLM-003</x:v>
      </x:c>
      <x:c r="B7" s="52" t="str">
        <x:v>NHL-SG</x:v>
      </x:c>
      <x:c r="C7" s="52" t="str">
        <x:v>法定保护</x:v>
      </x:c>
      <x:c r="D7" s="52" t="str">
        <x:v>1988年公布为第三批全国重点文物保护单位。</x:v>
      </x:c>
      <x:c r="E7" s="52" t="str">
        <x:v>1988｜第三批全国重点文物保护单位</x:v>
      </x:c>
      <x:c r="F7" s="52" t="n">
        <x:v>1988</x:v>
      </x:c>
      <x:c r="G7" s="52"/>
      <x:c r="H7" s="52" t="str">
        <x:v>年</x:v>
      </x:c>
      <x:c r="I7" s="52" t="str">
        <x:v>法定状态</x:v>
      </x:c>
      <x:c r="J7" s="52" t="str">
        <x:v>OBS</x:v>
      </x:c>
      <x:c r="K7" s="52" t="str">
        <x:v>A1</x:v>
      </x:c>
      <x:c r="L7" s="52" t="str">
        <x:v>current</x:v>
      </x:c>
      <x:c r="M7" s="52" t="str"/>
      <x:c r="N7" s="52" t="str">
        <x:v>1988成为世界遗产</x:v>
      </x:c>
      <x:c r="O7" s="52" t="str">
        <x:v>SRC-04</x:v>
      </x:c>
      <x:c r="P7" s="81" t="n">
        <x:v>46217</x:v>
      </x:c>
    </x:row>
    <x:row r="8">
      <x:c r="A8" s="37" t="str">
        <x:v>CLM-004</x:v>
      </x:c>
      <x:c r="B8" s="52" t="str">
        <x:v>NHL-SG</x:v>
      </x:c>
      <x:c r="C8" s="52" t="str">
        <x:v>UNESCO</x:v>
      </x:c>
      <x:c r="D8" s="52" t="str">
        <x:v>2013年作为红山文化遗址系列的一部分列入中国世界遗产预备名单Ref.5804。</x:v>
      </x:c>
      <x:c r="E8" s="52" t="str">
        <x:v>UNESCO预备名单 Ref.5804｜尚非世界遗产</x:v>
      </x:c>
      <x:c r="F8" s="52" t="n">
        <x:v>2013</x:v>
      </x:c>
      <x:c r="G8" s="52"/>
      <x:c r="H8" s="52" t="str">
        <x:v>年</x:v>
      </x:c>
      <x:c r="I8" s="52" t="str">
        <x:v>目录状态</x:v>
      </x:c>
      <x:c r="J8" s="52" t="str">
        <x:v>OBS</x:v>
      </x:c>
      <x:c r="K8" s="52" t="str">
        <x:v>A1</x:v>
      </x:c>
      <x:c r="L8" s="52" t="str">
        <x:v>current</x:v>
      </x:c>
      <x:c r="M8" s="52" t="str">
        <x:v>作为系列一部分</x:v>
      </x:c>
      <x:c r="N8" s="52" t="str">
        <x:v>世界文化遗产牛河梁；申遗成功</x:v>
      </x:c>
      <x:c r="O8" s="52" t="str">
        <x:v>SRC-11</x:v>
      </x:c>
      <x:c r="P8" s="81" t="n">
        <x:v>46217</x:v>
      </x:c>
    </x:row>
    <x:row r="9">
      <x:c r="A9" s="37" t="str">
        <x:v>CLM-005</x:v>
      </x:c>
      <x:c r="B9" s="52" t="str">
        <x:v>NHL-L01</x:v>
      </x:c>
      <x:c r="C9" s="52" t="str">
        <x:v>台基数量</x:v>
      </x:c>
      <x:c r="D9" s="52" t="str">
        <x:v>第一地点目前应写至少9座台基；女神庙位于9号台基。</x:v>
      </x:c>
      <x:c r="E9" s="52" t="str">
        <x:v>第一地点｜至少9座台基</x:v>
      </x:c>
      <x:c r="F9" s="52" t="n">
        <x:v>9</x:v>
      </x:c>
      <x:c r="G9" s="52"/>
      <x:c r="H9" s="52" t="str">
        <x:v>座</x:v>
      </x:c>
      <x:c r="I9" s="52" t="str">
        <x:v>当前确认数量下限</x:v>
      </x:c>
      <x:c r="J9" s="52" t="str">
        <x:v>OBS</x:v>
      </x:c>
      <x:c r="K9" s="52" t="str">
        <x:v>A1</x:v>
      </x:c>
      <x:c r="L9" s="52" t="str">
        <x:v>current</x:v>
      </x:c>
      <x:c r="M9" s="52" t="str">
        <x:v>至少</x:v>
      </x:c>
      <x:c r="N9" s="52" t="str">
        <x:v>正好只有9座宫殿</x:v>
      </x:c>
      <x:c r="O9" s="52" t="str">
        <x:v>SRC-02</x:v>
      </x:c>
      <x:c r="P9" s="81" t="n">
        <x:v>46217</x:v>
      </x:c>
    </x:row>
    <x:row r="10">
      <x:c r="A10" s="37" t="str">
        <x:v>CLM-006</x:v>
      </x:c>
      <x:c r="B10" s="52" t="str">
        <x:v>NHL-L01-P02</x:v>
      </x:c>
      <x:c r="C10" s="52" t="str">
        <x:v>长度</x:v>
      </x:c>
      <x:c r="D10" s="52" t="str">
        <x:v>2号台基南北64.61米。</x:v>
      </x:c>
      <x:c r="E10" s="52" t="str">
        <x:v>2号台基｜南北64.61米</x:v>
      </x:c>
      <x:c r="F10" s="52" t="n">
        <x:v>64.61</x:v>
      </x:c>
      <x:c r="G10" s="52"/>
      <x:c r="H10" s="52" t="str">
        <x:v>m</x:v>
      </x:c>
      <x:c r="I10" s="52" t="str">
        <x:v>近长方形台基南北向</x:v>
      </x:c>
      <x:c r="J10" s="52" t="str">
        <x:v>OBS</x:v>
      </x:c>
      <x:c r="K10" s="52" t="str">
        <x:v>A1</x:v>
      </x:c>
      <x:c r="L10" s="52" t="str">
        <x:v>current</x:v>
      </x:c>
      <x:c r="M10" s="52" t="str"/>
      <x:c r="N10" s="52" t="str">
        <x:v>约65米即唯一精确值</x:v>
      </x:c>
      <x:c r="O10" s="52" t="str">
        <x:v>SRC-02</x:v>
      </x:c>
      <x:c r="P10" s="81" t="n">
        <x:v>46217</x:v>
      </x:c>
    </x:row>
    <x:row r="11">
      <x:c r="A11" s="37" t="str">
        <x:v>CLM-007</x:v>
      </x:c>
      <x:c r="B11" s="52" t="str">
        <x:v>NHL-L01-P02</x:v>
      </x:c>
      <x:c r="C11" s="52" t="str">
        <x:v>宽度</x:v>
      </x:c>
      <x:c r="D11" s="52" t="str">
        <x:v>2号台基东西约41.39米。</x:v>
      </x:c>
      <x:c r="E11" s="52" t="str">
        <x:v>2号台基｜东西约41.39米</x:v>
      </x:c>
      <x:c r="F11" s="52" t="n">
        <x:v>41.39</x:v>
      </x:c>
      <x:c r="G11" s="52"/>
      <x:c r="H11" s="52" t="str">
        <x:v>m</x:v>
      </x:c>
      <x:c r="I11" s="52" t="str">
        <x:v>近长方形台基东西向</x:v>
      </x:c>
      <x:c r="J11" s="52" t="str">
        <x:v>OBS</x:v>
      </x:c>
      <x:c r="K11" s="52" t="str">
        <x:v>A1</x:v>
      </x:c>
      <x:c r="L11" s="52" t="str">
        <x:v>current</x:v>
      </x:c>
      <x:c r="M11" s="52" t="str">
        <x:v>约</x:v>
      </x:c>
      <x:c r="N11" s="52" t="str">
        <x:v>41.39米无误差</x:v>
      </x:c>
      <x:c r="O11" s="52" t="str">
        <x:v>SRC-02</x:v>
      </x:c>
      <x:c r="P11" s="81" t="n">
        <x:v>46217</x:v>
      </x:c>
    </x:row>
    <x:row r="12">
      <x:c r="A12" s="37" t="str">
        <x:v>CLM-008</x:v>
      </x:c>
      <x:c r="B12" s="52" t="str">
        <x:v>NHL-L01</x:v>
      </x:c>
      <x:c r="C12" s="52" t="str">
        <x:v>台基面积</x:v>
      </x:c>
      <x:c r="D12" s="52" t="str">
        <x:v>公开报道有近4万、约6万、含附属约10万平方米等不同范围口径。</x:v>
      </x:c>
      <x:c r="E12" s="52" t="str">
        <x:v>台基群面积｜按测量范围分口径展示</x:v>
      </x:c>
      <x:c r="F12" s="52" t="n">
        <x:v>40000</x:v>
      </x:c>
      <x:c r="G12" s="52" t="n">
        <x:v>100000</x:v>
      </x:c>
      <x:c r="H12" s="52" t="str">
        <x:v>m²</x:v>
      </x:c>
      <x:c r="I12" s="52" t="str">
        <x:v>可见/本体/含附属</x:v>
      </x:c>
      <x:c r="J12" s="52" t="str">
        <x:v>OBS</x:v>
      </x:c>
      <x:c r="K12" s="52" t="str">
        <x:v>B1</x:v>
      </x:c>
      <x:c r="L12" s="52" t="str">
        <x:v>current</x:v>
      </x:c>
      <x:c r="M12" s="52" t="str">
        <x:v>口径不同</x:v>
      </x:c>
      <x:c r="N12" s="52" t="str">
        <x:v>选择最大数字当唯一面积</x:v>
      </x:c>
      <x:c r="O12" s="52" t="str">
        <x:v>SRC-05</x:v>
      </x:c>
      <x:c r="P12" s="81" t="n">
        <x:v>46217</x:v>
      </x:c>
    </x:row>
    <x:row r="13">
      <x:c r="A13" s="37" t="str">
        <x:v>CLM-009</x:v>
      </x:c>
      <x:c r="B13" s="52" t="str">
        <x:v>NHL-L01-GT</x:v>
      </x:c>
      <x:c r="C13" s="52" t="str">
        <x:v>女神庙尺寸</x:v>
      </x:c>
      <x:c r="D13" s="52" t="str">
        <x:v>女神庙主体约18.4米；公开资料另有总长约22米或25米口径。</x:v>
      </x:c>
      <x:c r="E13" s="52" t="str">
        <x:v>女神庙长度｜18.4米主体；约22/25米其他口径</x:v>
      </x:c>
      <x:c r="F13" s="52" t="n">
        <x:v>18.4</x:v>
      </x:c>
      <x:c r="G13" s="52" t="n">
        <x:v>25</x:v>
      </x:c>
      <x:c r="H13" s="52" t="str">
        <x:v>m</x:v>
      </x:c>
      <x:c r="I13" s="52" t="str">
        <x:v>主体/总体/旧资料</x:v>
      </x:c>
      <x:c r="J13" s="52" t="str">
        <x:v>OBS</x:v>
      </x:c>
      <x:c r="K13" s="52" t="str">
        <x:v>B1</x:v>
      </x:c>
      <x:c r="L13" s="52" t="str">
        <x:v>current</x:v>
      </x:c>
      <x:c r="M13" s="52" t="str">
        <x:v>分别注明口径</x:v>
      </x:c>
      <x:c r="N13" s="52" t="str">
        <x:v>把18.4+6算成唯一长度</x:v>
      </x:c>
      <x:c r="O13" s="52" t="str">
        <x:v>SRC-07</x:v>
      </x:c>
      <x:c r="P13" s="81" t="n">
        <x:v>46217</x:v>
      </x:c>
    </x:row>
    <x:row r="14">
      <x:c r="A14" s="37" t="str">
        <x:v>CLM-010</x:v>
      </x:c>
      <x:c r="B14" s="52" t="str">
        <x:v>NHL-A-GH</x:v>
      </x:c>
      <x:c r="C14" s="52" t="str">
        <x:v>泥塑头像</x:v>
      </x:c>
      <x:c r="D14" s="52" t="str">
        <x:v>泥塑人头像现高22.4厘米、面宽16.5厘米。</x:v>
      </x:c>
      <x:c r="E14" s="52" t="str">
        <x:v>泥塑人头像｜高22.4cm，面宽16.5cm</x:v>
      </x:c>
      <x:c r="F14" s="52" t="n">
        <x:v>22.4</x:v>
      </x:c>
      <x:c r="G14" s="52" t="n">
        <x:v>16.5</x:v>
      </x:c>
      <x:c r="H14" s="52" t="str">
        <x:v>cm</x:v>
      </x:c>
      <x:c r="I14" s="52" t="str">
        <x:v>残存尺寸</x:v>
      </x:c>
      <x:c r="J14" s="52" t="str">
        <x:v>OBS</x:v>
      </x:c>
      <x:c r="K14" s="52" t="str">
        <x:v>B1</x:v>
      </x:c>
      <x:c r="L14" s="52" t="str">
        <x:v>current</x:v>
      </x:c>
      <x:c r="M14" s="52" t="str">
        <x:v>现高；顶部残缺</x:v>
      </x:c>
      <x:c r="N14" s="52" t="str">
        <x:v>完整头像就是此尺寸</x:v>
      </x:c>
      <x:c r="O14" s="52" t="str">
        <x:v>SRC-07</x:v>
      </x:c>
      <x:c r="P14" s="81" t="n">
        <x:v>46217</x:v>
      </x:c>
    </x:row>
    <x:row r="15">
      <x:c r="A15" s="37" t="str">
        <x:v>CLM-011</x:v>
      </x:c>
      <x:c r="B15" s="52" t="str">
        <x:v>NHL-A-GH</x:v>
      </x:c>
      <x:c r="C15" s="52" t="str">
        <x:v>材料工艺</x:v>
      </x:c>
      <x:c r="D15" s="52" t="str">
        <x:v>头像泥中掺植物纤维，未经烧制，表面曾施红，眼部嵌玉片。</x:v>
      </x:c>
      <x:c r="E15" s="52" t="str">
        <x:v>植物纤维入泥｜未烧制｜施红｜嵌玉眼</x:v>
      </x:c>
      <x:c r="F15" s="52"/>
      <x:c r="G15" s="52"/>
      <x:c r="H15" s="52" t="str"/>
      <x:c r="I15" s="52" t="str">
        <x:v>材料与工艺</x:v>
      </x:c>
      <x:c r="J15" s="52" t="str">
        <x:v>OBS</x:v>
      </x:c>
      <x:c r="K15" s="52" t="str">
        <x:v>B1</x:v>
      </x:c>
      <x:c r="L15" s="52" t="str">
        <x:v>current</x:v>
      </x:c>
      <x:c r="M15" s="52" t="str">
        <x:v>曾；残存</x:v>
      </x:c>
      <x:c r="N15" s="52" t="str">
        <x:v>彩陶烧制女神像</x:v>
      </x:c>
      <x:c r="O15" s="52" t="str">
        <x:v>SRC-07</x:v>
      </x:c>
      <x:c r="P15" s="81" t="n">
        <x:v>46217</x:v>
      </x:c>
    </x:row>
    <x:row r="16">
      <x:c r="A16" s="37" t="str">
        <x:v>CLM-012</x:v>
      </x:c>
      <x:c r="B16" s="52" t="str">
        <x:v>NHL-L02-Z03</x:v>
      </x:c>
      <x:c r="C16" s="52" t="str">
        <x:v>三环尺寸</x:v>
      </x:c>
      <x:c r="D16" s="52" t="str">
        <x:v>三圈立石结构外、中、内圈直径约22米、15.6米、11米。</x:v>
      </x:c>
      <x:c r="E16" s="52" t="str">
        <x:v>三环直径｜22m / 15.6m / 11m</x:v>
      </x:c>
      <x:c r="F16" s="52" t="n">
        <x:v>22</x:v>
      </x:c>
      <x:c r="G16" s="52" t="n">
        <x:v>11</x:v>
      </x:c>
      <x:c r="H16" s="52" t="str">
        <x:v>m</x:v>
      </x:c>
      <x:c r="I16" s="52" t="str">
        <x:v>外/中/内圈</x:v>
      </x:c>
      <x:c r="J16" s="52" t="str">
        <x:v>OBS</x:v>
      </x:c>
      <x:c r="K16" s="52" t="str">
        <x:v>A2</x:v>
      </x:c>
      <x:c r="L16" s="52" t="str">
        <x:v>current</x:v>
      </x:c>
      <x:c r="M16" s="52" t="str">
        <x:v>约</x:v>
      </x:c>
      <x:c r="N16" s="52" t="str">
        <x:v>北京天坛鼻祖；精确根号2设计</x:v>
      </x:c>
      <x:c r="O16" s="52" t="str">
        <x:v>SRC-09</x:v>
      </x:c>
      <x:c r="P16" s="81" t="n">
        <x:v>46217</x:v>
      </x:c>
    </x:row>
    <x:row r="17">
      <x:c r="A17" s="37" t="str">
        <x:v>CLM-013</x:v>
      </x:c>
      <x:c r="B17" s="52" t="str">
        <x:v>NHL-CEM</x:v>
      </x:c>
      <x:c r="C17" s="52" t="str">
        <x:v>墓葬数量</x:v>
      </x:c>
      <x:c r="D17" s="52" t="str">
        <x:v>上层积石冢阶段墓葬共66座。</x:v>
      </x:c>
      <x:c r="E17" s="52" t="str">
        <x:v>上层积石冢阶段｜66座墓葬</x:v>
      </x:c>
      <x:c r="F17" s="52" t="n">
        <x:v>66</x:v>
      </x:c>
      <x:c r="G17" s="52"/>
      <x:c r="H17" s="52" t="str">
        <x:v>座</x:v>
      </x:c>
      <x:c r="I17" s="52" t="str">
        <x:v>第二、三、五、十六地点样本</x:v>
      </x:c>
      <x:c r="J17" s="52" t="str">
        <x:v>SYN</x:v>
      </x:c>
      <x:c r="K17" s="52" t="str">
        <x:v>B2</x:v>
      </x:c>
      <x:c r="L17" s="52" t="str">
        <x:v>current</x:v>
      </x:c>
      <x:c r="M17" s="52" t="str">
        <x:v>样本范围</x:v>
      </x:c>
      <x:c r="N17" s="52" t="str">
        <x:v>牛河梁所有时期只有66墓</x:v>
      </x:c>
      <x:c r="O17" s="52" t="str">
        <x:v>SRC-10</x:v>
      </x:c>
      <x:c r="P17" s="81" t="n">
        <x:v>46217</x:v>
      </x:c>
    </x:row>
    <x:row r="18">
      <x:c r="A18" s="37" t="str">
        <x:v>CLM-014</x:v>
      </x:c>
      <x:c r="B18" s="52" t="str">
        <x:v>NHL-CEM</x:v>
      </x:c>
      <x:c r="C18" s="52" t="str">
        <x:v>有玉墓</x:v>
      </x:c>
      <x:c r="D18" s="52" t="str">
        <x:v>专题统计66座中37座有玉，共145件玉器。</x:v>
      </x:c>
      <x:c r="E18" s="52" t="str">
        <x:v>37座有玉｜共145件（限定样本）</x:v>
      </x:c>
      <x:c r="F18" s="52" t="n">
        <x:v>37</x:v>
      </x:c>
      <x:c r="G18" s="52" t="n">
        <x:v>145</x:v>
      </x:c>
      <x:c r="H18" s="52" t="str">
        <x:v>座/件</x:v>
      </x:c>
      <x:c r="I18" s="52" t="str">
        <x:v>66墓专题样本</x:v>
      </x:c>
      <x:c r="J18" s="52" t="str">
        <x:v>SYN</x:v>
      </x:c>
      <x:c r="K18" s="52" t="str">
        <x:v>B2</x:v>
      </x:c>
      <x:c r="L18" s="52" t="str">
        <x:v>current</x:v>
      </x:c>
      <x:c r="M18" s="52" t="str">
        <x:v>专题统计</x:v>
      </x:c>
      <x:c r="N18" s="52" t="str">
        <x:v>全遗址共145件玉器</x:v>
      </x:c>
      <x:c r="O18" s="52" t="str">
        <x:v>SRC-10</x:v>
      </x:c>
      <x:c r="P18" s="81" t="n">
        <x:v>46217</x:v>
      </x:c>
    </x:row>
    <x:row r="19">
      <x:c r="A19" s="37" t="str">
        <x:v>CLM-015</x:v>
      </x:c>
      <x:c r="B19" s="52" t="str">
        <x:v>NHL-CEM</x:v>
      </x:c>
      <x:c r="C19" s="52" t="str">
        <x:v>无玉墓</x:v>
      </x:c>
      <x:c r="D19" s="52" t="str">
        <x:v>29座无玉由66−37计算得出，是衍生值。</x:v>
      </x:c>
      <x:c r="E19" s="52" t="str">
        <x:v>29座无玉｜衍生值：66−37</x:v>
      </x:c>
      <x:c r="F19" s="52" t="n">
        <x:v>29</x:v>
      </x:c>
      <x:c r="G19" s="52"/>
      <x:c r="H19" s="52" t="str">
        <x:v>座</x:v>
      </x:c>
      <x:c r="I19" s="52" t="str">
        <x:v>66墓专题样本</x:v>
      </x:c>
      <x:c r="J19" s="52" t="str">
        <x:v>OBS</x:v>
      </x:c>
      <x:c r="K19" s="52" t="str">
        <x:v>B2</x:v>
      </x:c>
      <x:c r="L19" s="52" t="str">
        <x:v>current</x:v>
      </x:c>
      <x:c r="M19" s="52" t="str">
        <x:v>衍生值</x:v>
      </x:c>
      <x:c r="N19" s="52" t="str">
        <x:v>来源直接写明29座</x:v>
      </x:c>
      <x:c r="O19" s="52" t="str">
        <x:v>SRC-10</x:v>
      </x:c>
      <x:c r="P19" s="81" t="n">
        <x:v>46217</x:v>
      </x:c>
    </x:row>
    <x:row r="20">
      <x:c r="A20" s="37" t="str">
        <x:v>CLM-016</x:v>
      </x:c>
      <x:c r="B20" s="52" t="str">
        <x:v>NHL-L16-M04</x:v>
      </x:c>
      <x:c r="C20" s="52" t="str">
        <x:v>代表墓</x:v>
      </x:c>
      <x:c r="D20" s="52" t="str">
        <x:v>N16M4被研究者视为目前所知红山文化晚期规格最高的石棺墓之一。</x:v>
      </x:c>
      <x:c r="E20" s="52" t="str">
        <x:v>N16M4｜规格判断，不等同身份认定</x:v>
      </x:c>
      <x:c r="F20" s="52"/>
      <x:c r="G20" s="52"/>
      <x:c r="H20" s="52" t="str"/>
      <x:c r="I20" s="52" t="str">
        <x:v>研究比较</x:v>
      </x:c>
      <x:c r="J20" s="52" t="str">
        <x:v>INF</x:v>
      </x:c>
      <x:c r="K20" s="52" t="str">
        <x:v>B2</x:v>
      </x:c>
      <x:c r="L20" s="52" t="str">
        <x:v>current</x:v>
      </x:c>
      <x:c r="M20" s="52" t="str">
        <x:v>被研究者视为；目前所知</x:v>
      </x:c>
      <x:c r="N20" s="52" t="str">
        <x:v>国王墓；巫王墓</x:v>
      </x:c>
      <x:c r="O20" s="52" t="str">
        <x:v>SRC-10</x:v>
      </x:c>
      <x:c r="P20" s="81" t="n">
        <x:v>46217</x:v>
      </x:c>
    </x:row>
    <x:row r="21">
      <x:c r="A21" s="37" t="str">
        <x:v>CLM-017</x:v>
      </x:c>
      <x:c r="B21" s="52" t="str">
        <x:v>NHL-L02-Z01-M21</x:v>
      </x:c>
      <x:c r="C21" s="52" t="str">
        <x:v>代表墓</x:v>
      </x:c>
      <x:c r="D21" s="52" t="str">
        <x:v>N2Z1M21出土玉器20件，是已知单墓玉器数量最多实例。</x:v>
      </x:c>
      <x:c r="E21" s="52" t="str">
        <x:v>N2Z1M21｜单墓玉器20件｜数量最多</x:v>
      </x:c>
      <x:c r="F21" s="52" t="n">
        <x:v>20</x:v>
      </x:c>
      <x:c r="G21" s="52"/>
      <x:c r="H21" s="52" t="str">
        <x:v>件</x:v>
      </x:c>
      <x:c r="I21" s="52" t="str">
        <x:v>单墓随葬玉器</x:v>
      </x:c>
      <x:c r="J21" s="52" t="str">
        <x:v>OBS</x:v>
      </x:c>
      <x:c r="K21" s="52" t="str">
        <x:v>B2</x:v>
      </x:c>
      <x:c r="L21" s="52" t="str">
        <x:v>current</x:v>
      </x:c>
      <x:c r="M21" s="52" t="str">
        <x:v>已知；数量维度</x:v>
      </x:c>
      <x:c r="N21" s="52" t="str">
        <x:v>规格最高墓</x:v>
      </x:c>
      <x:c r="O21" s="52" t="str">
        <x:v>SRC-10</x:v>
      </x:c>
      <x:c r="P21" s="81" t="n">
        <x:v>46217</x:v>
      </x:c>
    </x:row>
    <x:row r="22">
      <x:c r="A22" s="37" t="str">
        <x:v>CLM-018</x:v>
      </x:c>
      <x:c r="B22" s="52" t="str">
        <x:v>NHL-SURVEY</x:v>
      </x:c>
      <x:c r="C22" s="52" t="str">
        <x:v>调查面积</x:v>
      </x:c>
      <x:c r="D22" s="52" t="str">
        <x:v>截至2026年3月系统调查31.076平方公里。</x:v>
      </x:c>
      <x:c r="E22" s="52" t="str">
        <x:v>系统调查｜31.076km²</x:v>
      </x:c>
      <x:c r="F22" s="52" t="n">
        <x:v>31.076</x:v>
      </x:c>
      <x:c r="G22" s="52"/>
      <x:c r="H22" s="52" t="str">
        <x:v>km²</x:v>
      </x:c>
      <x:c r="I22" s="52" t="str">
        <x:v>系统性区域考古调查</x:v>
      </x:c>
      <x:c r="J22" s="52" t="str">
        <x:v>OBS</x:v>
      </x:c>
      <x:c r="K22" s="52" t="str">
        <x:v>A2</x:v>
      </x:c>
      <x:c r="L22" s="52" t="str">
        <x:v>current</x:v>
      </x:c>
      <x:c r="M22" s="52" t="str">
        <x:v>截至2026-03</x:v>
      </x:c>
      <x:c r="N22" s="52" t="str">
        <x:v>整个遗址面积31.076km²</x:v>
      </x:c>
      <x:c r="O22" s="52" t="str">
        <x:v>SRC-01</x:v>
      </x:c>
      <x:c r="P22" s="81" t="n">
        <x:v>46217</x:v>
      </x:c>
    </x:row>
    <x:row r="23">
      <x:c r="A23" s="37" t="str">
        <x:v>CLM-019</x:v>
      </x:c>
      <x:c r="B23" s="52" t="str">
        <x:v>NHL-SURVEY</x:v>
      </x:c>
      <x:c r="C23" s="52" t="str">
        <x:v>网格</x:v>
      </x:c>
      <x:c r="D23" s="52" t="str">
        <x:v>调查使用50米×50米网格。</x:v>
      </x:c>
      <x:c r="E23" s="52" t="str">
        <x:v>调查方法｜50m × 50m网格</x:v>
      </x:c>
      <x:c r="F23" s="52" t="n">
        <x:v>50</x:v>
      </x:c>
      <x:c r="G23" s="52"/>
      <x:c r="H23" s="52" t="str">
        <x:v>m</x:v>
      </x:c>
      <x:c r="I23" s="52" t="str">
        <x:v>网格边长</x:v>
      </x:c>
      <x:c r="J23" s="52" t="str">
        <x:v>OBS</x:v>
      </x:c>
      <x:c r="K23" s="52" t="str">
        <x:v>A2</x:v>
      </x:c>
      <x:c r="L23" s="52" t="str">
        <x:v>current</x:v>
      </x:c>
      <x:c r="M23" s="52" t="str"/>
      <x:c r="N23" s="52" t="str">
        <x:v>所有遗迹都按此网格建造</x:v>
      </x:c>
      <x:c r="O23" s="52" t="str">
        <x:v>SRC-01</x:v>
      </x:c>
      <x:c r="P23" s="81" t="n">
        <x:v>46217</x:v>
      </x:c>
    </x:row>
    <x:row r="24">
      <x:c r="A24" s="37" t="str">
        <x:v>CLM-020</x:v>
      </x:c>
      <x:c r="B24" s="52" t="str">
        <x:v>NHL-SURVEY</x:v>
      </x:c>
      <x:c r="C24" s="52" t="str">
        <x:v>发现网格</x:v>
      </x:c>
      <x:c r="D24" s="52" t="str">
        <x:v>518个网格发现红山文化陶片。</x:v>
      </x:c>
      <x:c r="E24" s="52" t="str">
        <x:v>518个网格｜发现红山陶片</x:v>
      </x:c>
      <x:c r="F24" s="52" t="n">
        <x:v>518</x:v>
      </x:c>
      <x:c r="G24" s="52"/>
      <x:c r="H24" s="52" t="str">
        <x:v>个</x:v>
      </x:c>
      <x:c r="I24" s="52" t="str">
        <x:v>已调查网格中的发现单元</x:v>
      </x:c>
      <x:c r="J24" s="52" t="str">
        <x:v>OBS</x:v>
      </x:c>
      <x:c r="K24" s="52" t="str">
        <x:v>A2</x:v>
      </x:c>
      <x:c r="L24" s="52" t="str">
        <x:v>current</x:v>
      </x:c>
      <x:c r="M24" s="52" t="str">
        <x:v>发现陶片</x:v>
      </x:c>
      <x:c r="N24" s="52" t="str">
        <x:v>518处遗址</x:v>
      </x:c>
      <x:c r="O24" s="52" t="str">
        <x:v>SRC-01</x:v>
      </x:c>
      <x:c r="P24" s="81" t="n">
        <x:v>46217</x:v>
      </x:c>
    </x:row>
    <x:row r="25">
      <x:c r="A25" s="37" t="str">
        <x:v>CLM-021</x:v>
      </x:c>
      <x:c r="B25" s="52" t="str">
        <x:v>NHL-SURVEY</x:v>
      </x:c>
      <x:c r="C25" s="52" t="str">
        <x:v>陶片</x:v>
      </x:c>
      <x:c r="D25" s="52" t="str">
        <x:v>调查采集日用陶片1599片、筒形器陶片598片。</x:v>
      </x:c>
      <x:c r="E25" s="52" t="str">
        <x:v>1599片日用陶片｜598片筒形器陶片</x:v>
      </x:c>
      <x:c r="F25" s="52" t="n">
        <x:v>1599</x:v>
      </x:c>
      <x:c r="G25" s="52" t="n">
        <x:v>598</x:v>
      </x:c>
      <x:c r="H25" s="52" t="str">
        <x:v>片</x:v>
      </x:c>
      <x:c r="I25" s="52" t="str">
        <x:v>2026-03报道的调查样本</x:v>
      </x:c>
      <x:c r="J25" s="52" t="str">
        <x:v>OBS</x:v>
      </x:c>
      <x:c r="K25" s="52" t="str">
        <x:v>A2</x:v>
      </x:c>
      <x:c r="L25" s="52" t="str">
        <x:v>current</x:v>
      </x:c>
      <x:c r="M25" s="52" t="str">
        <x:v>调查采集</x:v>
      </x:c>
      <x:c r="N25" s="52" t="str">
        <x:v>遗址总出土数量</x:v>
      </x:c>
      <x:c r="O25" s="52" t="str">
        <x:v>SRC-01</x:v>
      </x:c>
      <x:c r="P25" s="81" t="n">
        <x:v>46217</x:v>
      </x:c>
    </x:row>
    <x:row r="26">
      <x:c r="A26" s="37" t="str">
        <x:v>CLM-022</x:v>
      </x:c>
      <x:c r="B26" s="52" t="str">
        <x:v>NHL-SURVEY</x:v>
      </x:c>
      <x:c r="C26" s="52" t="str">
        <x:v>聚落群</x:v>
      </x:c>
      <x:c r="D26" s="52" t="str">
        <x:v>调查将发现划分为5个聚落群。</x:v>
      </x:c>
      <x:c r="E26" s="52" t="str">
        <x:v>最新调查｜5个聚落群</x:v>
      </x:c>
      <x:c r="F26" s="52" t="n">
        <x:v>5</x:v>
      </x:c>
      <x:c r="G26" s="52"/>
      <x:c r="H26" s="52" t="str">
        <x:v>个</x:v>
      </x:c>
      <x:c r="I26" s="52" t="str">
        <x:v>调查分析单元</x:v>
      </x:c>
      <x:c r="J26" s="52" t="str">
        <x:v>SYN</x:v>
      </x:c>
      <x:c r="K26" s="52" t="str">
        <x:v>A2</x:v>
      </x:c>
      <x:c r="L26" s="52" t="str">
        <x:v>current</x:v>
      </x:c>
      <x:c r="M26" s="52" t="str">
        <x:v>划分为</x:v>
      </x:c>
      <x:c r="N26" s="52" t="str">
        <x:v>5座城市</x:v>
      </x:c>
      <x:c r="O26" s="52" t="str">
        <x:v>SRC-01</x:v>
      </x:c>
      <x:c r="P26" s="81" t="n">
        <x:v>46217</x:v>
      </x:c>
    </x:row>
    <x:row r="27">
      <x:c r="A27" s="37" t="str">
        <x:v>CLM-023</x:v>
      </x:c>
      <x:c r="B27" s="52" t="str">
        <x:v>NHL-SURVEY</x:v>
      </x:c>
      <x:c r="C27" s="52" t="str">
        <x:v>勘探与遗址点</x:v>
      </x:c>
      <x:c r="D27" s="52" t="str">
        <x:v>约50平方公里内累计勘探110万平方米；报道称遗址由16处增至65处，49处为近年新发现。</x:v>
      </x:c>
      <x:c r="E27" s="52" t="str">
        <x:v>50km²范围｜110万m²勘探｜65处、49处近年新发现</x:v>
      </x:c>
      <x:c r="F27" s="52" t="n">
        <x:v>65</x:v>
      </x:c>
      <x:c r="G27" s="52" t="n">
        <x:v>49</x:v>
      </x:c>
      <x:c r="H27" s="52" t="str">
        <x:v>处</x:v>
      </x:c>
      <x:c r="I27" s="52" t="str">
        <x:v>约50km²保护区报道口径</x:v>
      </x:c>
      <x:c r="J27" s="52" t="str">
        <x:v>SYN</x:v>
      </x:c>
      <x:c r="K27" s="52" t="str">
        <x:v>A2</x:v>
      </x:c>
      <x:c r="L27" s="52" t="str">
        <x:v>current</x:v>
      </x:c>
      <x:c r="M27" s="52" t="str">
        <x:v>报道称；截至报道</x:v>
      </x:c>
      <x:c r="N27" s="52" t="str">
        <x:v>各年份遗址点数可直接相加</x:v>
      </x:c>
      <x:c r="O27" s="52" t="str">
        <x:v>SRC-01</x:v>
      </x:c>
      <x:c r="P27" s="81" t="n">
        <x:v>46217</x:v>
      </x:c>
    </x:row>
    <x:row r="28">
      <x:c r="A28" s="37" t="str">
        <x:v>CLM-024</x:v>
      </x:c>
      <x:c r="B28" s="52" t="str">
        <x:v>NHL-SG</x:v>
      </x:c>
      <x:c r="C28" s="52" t="str">
        <x:v>空间认知</x:v>
      </x:c>
      <x:c r="D28" s="52" t="str">
        <x:v>最新区域调查提示生活活动与礼仪活动的空间关系可能比过去认识更复杂。</x:v>
      </x:c>
      <x:c r="E28" s="52" t="str">
        <x:v>新证据提示｜礼仪与生活空间关系更复杂</x:v>
      </x:c>
      <x:c r="F28" s="52"/>
      <x:c r="G28" s="52"/>
      <x:c r="H28" s="52" t="str"/>
      <x:c r="I28" s="52" t="str">
        <x:v>2026区域调查综合判断</x:v>
      </x:c>
      <x:c r="J28" s="52" t="str">
        <x:v>SYN</x:v>
      </x:c>
      <x:c r="K28" s="52" t="str">
        <x:v>A2</x:v>
      </x:c>
      <x:c r="L28" s="52" t="str">
        <x:v>preliminary</x:v>
      </x:c>
      <x:c r="M28" s="52" t="str">
        <x:v>提示；可能</x:v>
      </x:c>
      <x:c r="N28" s="52" t="str">
        <x:v>已证实完整城市或都城</x:v>
      </x:c>
      <x:c r="O28" s="52" t="str">
        <x:v>SRC-01</x:v>
      </x:c>
      <x:c r="P28" s="81" t="n">
        <x:v>46217</x:v>
      </x:c>
    </x:row>
    <x:row r="29">
      <x:c r="A29" s="37" t="str">
        <x:v>CLM-025</x:v>
      </x:c>
      <x:c r="B29" s="52" t="str">
        <x:v>NHL-L13</x:v>
      </x:c>
      <x:c r="C29" s="52" t="str">
        <x:v>发掘面积</x:v>
      </x:c>
      <x:c r="D29" s="52" t="str">
        <x:v>2025年发掘第十三地点1000平方米。</x:v>
      </x:c>
      <x:c r="E29" s="52" t="str">
        <x:v>第十三地点｜2025发掘1000m²</x:v>
      </x:c>
      <x:c r="F29" s="52" t="n">
        <x:v>1000</x:v>
      </x:c>
      <x:c r="G29" s="52"/>
      <x:c r="H29" s="52" t="str">
        <x:v>m²</x:v>
      </x:c>
      <x:c r="I29" s="52" t="str">
        <x:v>2025年度发掘区</x:v>
      </x:c>
      <x:c r="J29" s="52" t="str">
        <x:v>OBS</x:v>
      </x:c>
      <x:c r="K29" s="52" t="str">
        <x:v>A2</x:v>
      </x:c>
      <x:c r="L29" s="52" t="str">
        <x:v>current</x:v>
      </x:c>
      <x:c r="M29" s="52" t="str">
        <x:v>年度</x:v>
      </x:c>
      <x:c r="N29" s="52" t="str">
        <x:v>建筑面积仅1000m²</x:v>
      </x:c>
      <x:c r="O29" s="52" t="str">
        <x:v>SRC-01</x:v>
      </x:c>
      <x:c r="P29" s="81" t="n">
        <x:v>46217</x:v>
      </x:c>
    </x:row>
    <x:row r="30">
      <x:c r="A30" s="37" t="str">
        <x:v>CLM-026</x:v>
      </x:c>
      <x:c r="B30" s="52" t="str">
        <x:v>NHL-L13</x:v>
      </x:c>
      <x:c r="C30" s="52" t="str">
        <x:v>高度</x:v>
      </x:c>
      <x:c r="D30" s="52" t="str">
        <x:v>从顶部至积石基础约7.5米。</x:v>
      </x:c>
      <x:c r="E30" s="52" t="str">
        <x:v>第十三地点｜顶部至积石基础约7.5m</x:v>
      </x:c>
      <x:c r="F30" s="52" t="n">
        <x:v>7.5</x:v>
      </x:c>
      <x:c r="G30" s="52"/>
      <x:c r="H30" s="52" t="str">
        <x:v>m</x:v>
      </x:c>
      <x:c r="I30" s="52" t="str">
        <x:v>顶部至基础</x:v>
      </x:c>
      <x:c r="J30" s="52" t="str">
        <x:v>OBS</x:v>
      </x:c>
      <x:c r="K30" s="52" t="str">
        <x:v>A2</x:v>
      </x:c>
      <x:c r="L30" s="52" t="str">
        <x:v>current</x:v>
      </x:c>
      <x:c r="M30" s="52" t="str">
        <x:v>约</x:v>
      </x:c>
      <x:c r="N30" s="52" t="str">
        <x:v>完整原高就是7.5米</x:v>
      </x:c>
      <x:c r="O30" s="52" t="str">
        <x:v>SRC-01</x:v>
      </x:c>
      <x:c r="P30" s="81" t="n">
        <x:v>46217</x:v>
      </x:c>
    </x:row>
    <x:row r="31">
      <x:c r="A31" s="37" t="str">
        <x:v>CLM-027</x:v>
      </x:c>
      <x:c r="B31" s="52" t="str">
        <x:v>NHL-L13</x:v>
      </x:c>
      <x:c r="C31" s="52" t="str">
        <x:v>建筑面积</x:v>
      </x:c>
      <x:c r="D31" s="52" t="str">
        <x:v>整体建筑面积约1万平方米。</x:v>
      </x:c>
      <x:c r="E31" s="52" t="str">
        <x:v>第十三地点｜整体约10,000m²</x:v>
      </x:c>
      <x:c r="F31" s="52" t="n">
        <x:v>10000</x:v>
      </x:c>
      <x:c r="G31" s="52"/>
      <x:c r="H31" s="52" t="str">
        <x:v>m²</x:v>
      </x:c>
      <x:c r="I31" s="52" t="str">
        <x:v>当前公开整体估算</x:v>
      </x:c>
      <x:c r="J31" s="52" t="str">
        <x:v>OBS</x:v>
      </x:c>
      <x:c r="K31" s="52" t="str">
        <x:v>A2</x:v>
      </x:c>
      <x:c r="L31" s="52" t="str">
        <x:v>current</x:v>
      </x:c>
      <x:c r="M31" s="52" t="str">
        <x:v>约</x:v>
      </x:c>
      <x:c r="N31" s="52" t="str">
        <x:v>中国最大祭坛已证实</x:v>
      </x:c>
      <x:c r="O31" s="52" t="str">
        <x:v>SRC-01</x:v>
      </x:c>
      <x:c r="P31" s="81" t="n">
        <x:v>46217</x:v>
      </x:c>
    </x:row>
    <x:row r="32">
      <x:c r="A32" s="37" t="str">
        <x:v>CLM-028</x:v>
      </x:c>
      <x:c r="B32" s="52" t="str">
        <x:v>NHL-L13</x:v>
      </x:c>
      <x:c r="C32" s="52" t="str">
        <x:v>性质</x:v>
      </x:c>
      <x:c r="D32" s="52" t="str">
        <x:v>圆形土石混筑大型建筑，目前初步判断为独立大型祭坛。</x:v>
      </x:c>
      <x:c r="E32" s="52" t="str">
        <x:v>大型土石建筑｜初步判断为独立大型祭坛</x:v>
      </x:c>
      <x:c r="F32" s="52"/>
      <x:c r="G32" s="52"/>
      <x:c r="H32" s="52" t="str"/>
      <x:c r="I32" s="52" t="str">
        <x:v>当前性质判断</x:v>
      </x:c>
      <x:c r="J32" s="52" t="str">
        <x:v>SYN</x:v>
      </x:c>
      <x:c r="K32" s="52" t="str">
        <x:v>A2</x:v>
      </x:c>
      <x:c r="L32" s="52" t="str">
        <x:v>preliminary</x:v>
      </x:c>
      <x:c r="M32" s="52" t="str">
        <x:v>目前初步判断</x:v>
      </x:c>
      <x:c r="N32" s="52" t="str">
        <x:v>东方金字塔；已证实中国最大祭坛</x:v>
      </x:c>
      <x:c r="O32" s="52" t="str">
        <x:v>SRC-01</x:v>
      </x:c>
      <x:c r="P32" s="81" t="n">
        <x:v>46217</x:v>
      </x:c>
    </x:row>
    <x:row r="33">
      <x:c r="A33" s="37" t="str">
        <x:v>CLM-029</x:v>
      </x:c>
      <x:c r="B33" s="52" t="str">
        <x:v>NHL-JADE</x:v>
      </x:c>
      <x:c r="C33" s="52" t="str">
        <x:v>检测数据库</x:v>
      </x:c>
      <x:c r="D33" s="52" t="str">
        <x:v>已完成300多件玉器样本检测，相关数据库正在汇集和完善。</x:v>
      </x:c>
      <x:c r="E33" s="52" t="str">
        <x:v>300+玉器样本检测｜数据库建设中</x:v>
      </x:c>
      <x:c r="F33" s="52" t="n">
        <x:v>300</x:v>
      </x:c>
      <x:c r="G33" s="52"/>
      <x:c r="H33" s="52" t="str">
        <x:v>件以上</x:v>
      </x:c>
      <x:c r="I33" s="52" t="str">
        <x:v>阶段性检测样本</x:v>
      </x:c>
      <x:c r="J33" s="52" t="str">
        <x:v>SYN</x:v>
      </x:c>
      <x:c r="K33" s="52" t="str">
        <x:v>A2</x:v>
      </x:c>
      <x:c r="L33" s="52" t="str">
        <x:v>preliminary</x:v>
      </x:c>
      <x:c r="M33" s="52" t="str">
        <x:v>已完成…样本；建设中</x:v>
      </x:c>
      <x:c r="N33" s="52" t="str">
        <x:v>全球数据库已完全开放</x:v>
      </x:c>
      <x:c r="O33" s="52" t="str">
        <x:v>SRC-01</x:v>
      </x:c>
      <x:c r="P33" s="81" t="n">
        <x:v>46217</x:v>
      </x:c>
    </x:row>
    <x:row r="34">
      <x:c r="A34" s="37" t="str">
        <x:v>CLM-030</x:v>
      </x:c>
      <x:c r="B34" s="52" t="str">
        <x:v>NHL-SG</x:v>
      </x:c>
      <x:c r="C34" s="52" t="str">
        <x:v>保护条例</x:v>
      </x:c>
      <x:c r="D34" s="52" t="str">
        <x:v>修订后的保护条例自2026年1月1日起施行，鼓励数字化保护、展示和传播。</x:v>
      </x:c>
      <x:c r="E34" s="52" t="str">
        <x:v>2026-01-01施行｜鼓励数字化保护与传播</x:v>
      </x:c>
      <x:c r="F34" s="52" t="n">
        <x:v>2026</x:v>
      </x:c>
      <x:c r="G34" s="52"/>
      <x:c r="H34" s="52" t="str">
        <x:v>年</x:v>
      </x:c>
      <x:c r="I34" s="52" t="str">
        <x:v>条例施行</x:v>
      </x:c>
      <x:c r="J34" s="52" t="str">
        <x:v>OBS</x:v>
      </x:c>
      <x:c r="K34" s="52" t="str">
        <x:v>A1</x:v>
      </x:c>
      <x:c r="L34" s="52" t="str">
        <x:v>current</x:v>
      </x:c>
      <x:c r="M34" s="52" t="str"/>
      <x:c r="N34" s="52" t="str">
        <x:v>所有影像可自由使用</x:v>
      </x:c>
      <x:c r="O34" s="52" t="str">
        <x:v>SRC-12</x:v>
      </x:c>
      <x:c r="P34" s="81" t="n">
        <x:v>46217</x:v>
      </x:c>
    </x:row>
    <x:row r="35">
      <x:c r="A35" s="37" t="str">
        <x:v>HIS-001</x:v>
      </x:c>
      <x:c r="B35" s="52" t="str">
        <x:v>HS-CULTURE</x:v>
      </x:c>
      <x:c r="C35" s="52" t="str">
        <x:v>年代与分布</x:v>
      </x:c>
      <x:c r="D35" s="52" t="str">
        <x:v>中国大百科全书将红山文化概括为约公元前4700—前2900年，主要分布于内蒙古东南部西拉木伦河流域、辽西和冀东北。</x:v>
      </x:c>
      <x:c r="E35" s="52" t="str">
        <x:v>红山文化｜约前4700—前2900年（百科口径）</x:v>
      </x:c>
      <x:c r="F35" s="52" t="n">
        <x:v>4700</x:v>
      </x:c>
      <x:c r="G35" s="52" t="n">
        <x:v>2900</x:v>
      </x:c>
      <x:c r="H35" s="52" t="str">
        <x:v>BCE</x:v>
      </x:c>
      <x:c r="I35" s="52" t="str">
        <x:v>百科综合口径</x:v>
      </x:c>
      <x:c r="J35" s="52" t="str">
        <x:v>SYN</x:v>
      </x:c>
      <x:c r="K35" s="52" t="str">
        <x:v>B1</x:v>
      </x:c>
      <x:c r="L35" s="52" t="str">
        <x:v>current</x:v>
      </x:c>
      <x:c r="M35" s="52" t="str">
        <x:v>约；百科口径</x:v>
      </x:c>
      <x:c r="N35" s="52" t="str">
        <x:v>唯一无争议的起止年代</x:v>
      </x:c>
      <x:c r="O35" s="52" t="str">
        <x:v>SRC-15</x:v>
      </x:c>
      <x:c r="P35" s="81" t="n">
        <x:v>46217</x:v>
      </x:c>
    </x:row>
    <x:row r="36">
      <x:c r="A36" s="37" t="str">
        <x:v>HIS-002</x:v>
      </x:c>
      <x:c r="B36" s="52" t="str">
        <x:v>HS-RITUAL</x:v>
      </x:c>
      <x:c r="C36" s="52" t="str">
        <x:v>礼仪中心年代</x:v>
      </x:c>
      <x:c r="D36" s="52" t="str">
        <x:v>碳十四大样本研究将牛河梁、东山嘴大型礼仪中心主要年代置于约5800—5300 cal BP。</x:v>
      </x:c>
      <x:c r="E36" s="52" t="str">
        <x:v>大型礼仪中心｜约5800—5300 cal BP</x:v>
      </x:c>
      <x:c r="F36" s="52" t="n">
        <x:v>5800</x:v>
      </x:c>
      <x:c r="G36" s="52" t="n">
        <x:v>5300</x:v>
      </x:c>
      <x:c r="H36" s="52" t="str">
        <x:v>cal BP</x:v>
      </x:c>
      <x:c r="I36" s="52" t="str">
        <x:v>碳十四概率与遗址活动</x:v>
      </x:c>
      <x:c r="J36" s="52" t="str">
        <x:v>SYN</x:v>
      </x:c>
      <x:c r="K36" s="52" t="str">
        <x:v>A2</x:v>
      </x:c>
      <x:c r="L36" s="52" t="str">
        <x:v>current</x:v>
      </x:c>
      <x:c r="M36" s="52" t="str">
        <x:v>约；主要年代</x:v>
      </x:c>
      <x:c r="N36" s="52" t="str">
        <x:v>红山文化诞生于精确5800年前</x:v>
      </x:c>
      <x:c r="O36" s="52" t="str">
        <x:v>SRC-16</x:v>
      </x:c>
      <x:c r="P36" s="81" t="n">
        <x:v>46217</x:v>
      </x:c>
    </x:row>
    <x:row r="37">
      <x:c r="A37" s="37" t="str">
        <x:v>HIS-003</x:v>
      </x:c>
      <x:c r="B37" s="52" t="str">
        <x:v>LX-EARLY</x:v>
      </x:c>
      <x:c r="C37" s="52" t="str">
        <x:v>早期定居</x:v>
      </x:c>
      <x:c r="D37" s="52" t="str">
        <x:v>阜新地区两个单次占用遗址显示，约7.9千年前已有定居和植物栽培的早期证据。</x:v>
      </x:c>
      <x:c r="E37" s="52" t="str">
        <x:v>约7.9千年前｜早期定居与植物利用实例</x:v>
      </x:c>
      <x:c r="F37" s="52" t="n">
        <x:v>7900</x:v>
      </x:c>
      <x:c r="G37" s="52"/>
      <x:c r="H37" s="52" t="str">
        <x:v>cal BP</x:v>
      </x:c>
      <x:c r="I37" s="52" t="str">
        <x:v>两个具体遗址样本</x:v>
      </x:c>
      <x:c r="J37" s="52" t="str">
        <x:v>OBS</x:v>
      </x:c>
      <x:c r="K37" s="52" t="str">
        <x:v>A2</x:v>
      </x:c>
      <x:c r="L37" s="52" t="str">
        <x:v>current</x:v>
      </x:c>
      <x:c r="M37" s="52" t="str">
        <x:v>约；实例</x:v>
      </x:c>
      <x:c r="N37" s="52" t="str">
        <x:v>整个东北已进入成熟农业</x:v>
      </x:c>
      <x:c r="O37" s="52" t="str">
        <x:v>SRC-17</x:v>
      </x:c>
      <x:c r="P37" s="81" t="n">
        <x:v>46217</x:v>
      </x:c>
    </x:row>
    <x:row r="38">
      <x:c r="A38" s="37" t="str">
        <x:v>HIS-004</x:v>
      </x:c>
      <x:c r="B38" s="52" t="str">
        <x:v>XLW</x:v>
      </x:c>
      <x:c r="C38" s="52" t="str">
        <x:v>聚落实例</x:v>
      </x:c>
      <x:c r="D38" s="52" t="str">
        <x:v>兴隆洼阶段存在约5公顷、最多约40座居住建筑的大型村落实例。</x:v>
      </x:c>
      <x:c r="E38" s="52" t="str">
        <x:v>兴隆洼阶段｜约5ha、最多约40座建筑的实例</x:v>
      </x:c>
      <x:c r="F38" s="52" t="n">
        <x:v>5</x:v>
      </x:c>
      <x:c r="G38" s="52" t="n">
        <x:v>40</x:v>
      </x:c>
      <x:c r="H38" s="52" t="str">
        <x:v>ha/座</x:v>
      </x:c>
      <x:c r="I38" s="52" t="str">
        <x:v>区域性大型村落实例</x:v>
      </x:c>
      <x:c r="J38" s="52" t="str">
        <x:v>OBS</x:v>
      </x:c>
      <x:c r="K38" s="52" t="str">
        <x:v>A2</x:v>
      </x:c>
      <x:c r="L38" s="52" t="str">
        <x:v>current</x:v>
      </x:c>
      <x:c r="M38" s="52" t="str">
        <x:v>约；实例</x:v>
      </x:c>
      <x:c r="N38" s="52" t="str">
        <x:v>所有兴隆洼聚落均同规模</x:v>
      </x:c>
      <x:c r="O38" s="52" t="str">
        <x:v>SRC-17</x:v>
      </x:c>
      <x:c r="P38" s="81" t="n">
        <x:v>46217</x:v>
      </x:c>
    </x:row>
    <x:row r="39">
      <x:c r="A39" s="37" t="str">
        <x:v>HIS-005</x:v>
      </x:c>
      <x:c r="B39" s="52" t="str">
        <x:v>LX-SEQUENCE</x:v>
      </x:c>
      <x:c r="C39" s="52" t="str">
        <x:v>碳十四序列</x:v>
      </x:c>
      <x:c r="D39" s="52" t="str">
        <x:v>627个碳十四数据的活动概率曲线显示兴隆洼、赵宝沟、红山、小河沿等存在多个活动高峰。</x:v>
      </x:c>
      <x:c r="E39" s="52" t="str">
        <x:v>627个碳十四数据｜多个活动高峰</x:v>
      </x:c>
      <x:c r="F39" s="52" t="n">
        <x:v>627</x:v>
      </x:c>
      <x:c r="G39" s="52"/>
      <x:c r="H39" s="52" t="str">
        <x:v>个测年</x:v>
      </x:c>
      <x:c r="I39" s="52" t="str">
        <x:v>区域概率模型</x:v>
      </x:c>
      <x:c r="J39" s="52" t="str">
        <x:v>SYN</x:v>
      </x:c>
      <x:c r="K39" s="52" t="str">
        <x:v>A2</x:v>
      </x:c>
      <x:c r="L39" s="52" t="str">
        <x:v>current</x:v>
      </x:c>
      <x:c r="M39" s="52" t="str">
        <x:v>概率高峰</x:v>
      </x:c>
      <x:c r="N39" s="52" t="str">
        <x:v>高峰就是完整文化边界</x:v>
      </x:c>
      <x:c r="O39" s="52" t="str">
        <x:v>SRC-16</x:v>
      </x:c>
      <x:c r="P39" s="81" t="n">
        <x:v>46217</x:v>
      </x:c>
    </x:row>
    <x:row r="40">
      <x:c r="A40" s="37" t="str">
        <x:v>HIS-006</x:v>
      </x:c>
      <x:c r="B40" s="52" t="str">
        <x:v>XHY</x:v>
      </x:c>
      <x:c r="C40" s="52" t="str">
        <x:v>年代与分布</x:v>
      </x:c>
      <x:c r="D40" s="52" t="str">
        <x:v>中国大百科全书将小河沿文化概括为约公元前3500—前2900年，分布于西拉木伦河流域至燕山东段。</x:v>
      </x:c>
      <x:c r="E40" s="52" t="str">
        <x:v>小河沿文化｜约前3500—前2900年（百科口径）</x:v>
      </x:c>
      <x:c r="F40" s="52" t="n">
        <x:v>3500</x:v>
      </x:c>
      <x:c r="G40" s="52" t="n">
        <x:v>2900</x:v>
      </x:c>
      <x:c r="H40" s="52" t="str">
        <x:v>BCE</x:v>
      </x:c>
      <x:c r="I40" s="52" t="str">
        <x:v>百科综合口径</x:v>
      </x:c>
      <x:c r="J40" s="52" t="str">
        <x:v>SYN</x:v>
      </x:c>
      <x:c r="K40" s="52" t="str">
        <x:v>B1</x:v>
      </x:c>
      <x:c r="L40" s="52" t="str">
        <x:v>current</x:v>
      </x:c>
      <x:c r="M40" s="52" t="str">
        <x:v>约；百科口径</x:v>
      </x:c>
      <x:c r="N40" s="52" t="str">
        <x:v>与红山瞬间无缝接替</x:v>
      </x:c>
      <x:c r="O40" s="52" t="str">
        <x:v>SRC-18</x:v>
      </x:c>
      <x:c r="P40" s="81" t="n">
        <x:v>46217</x:v>
      </x:c>
    </x:row>
    <x:row r="41">
      <x:c r="A41" s="37" t="str">
        <x:v>HIS-007</x:v>
      </x:c>
      <x:c r="B41" s="52" t="str">
        <x:v>HS-TRANSITION</x:v>
      </x:c>
      <x:c r="C41" s="52" t="str">
        <x:v>转型</x:v>
      </x:c>
      <x:c r="D41" s="52" t="str">
        <x:v>研究认为大型礼仪中心约5300 cal BP后式微，但小型居住聚落仍延续数百年。</x:v>
      </x:c>
      <x:c r="E41" s="52" t="str">
        <x:v>约5300 cal BP后｜礼仪中心式微，聚落仍延续</x:v>
      </x:c>
      <x:c r="F41" s="52" t="n">
        <x:v>5300</x:v>
      </x:c>
      <x:c r="G41" s="52"/>
      <x:c r="H41" s="52" t="str">
        <x:v>cal BP</x:v>
      </x:c>
      <x:c r="I41" s="52" t="str">
        <x:v>区域活动概率与聚落资料</x:v>
      </x:c>
      <x:c r="J41" s="52" t="str">
        <x:v>INF</x:v>
      </x:c>
      <x:c r="K41" s="52" t="str">
        <x:v>A2</x:v>
      </x:c>
      <x:c r="L41" s="52" t="str">
        <x:v>current</x:v>
      </x:c>
      <x:c r="M41" s="52" t="str">
        <x:v>研究认为；约</x:v>
      </x:c>
      <x:c r="N41" s="52" t="str">
        <x:v>红山人突然消失</x:v>
      </x:c>
      <x:c r="O41" s="52" t="str">
        <x:v>SRC-16</x:v>
      </x:c>
      <x:c r="P41" s="81" t="n">
        <x:v>46217</x:v>
      </x:c>
    </x:row>
    <x:row r="42">
      <x:c r="A42" s="37" t="str">
        <x:v>HIS-008</x:v>
      </x:c>
      <x:c r="B42" s="52" t="str">
        <x:v>HS-SUBSIST</x:v>
      </x:c>
      <x:c r="C42" s="52" t="str">
        <x:v>生业</x:v>
      </x:c>
      <x:c r="D42" s="52" t="str">
        <x:v>区域生业由黍作、养猪、狩猎采集等共同构成，并随时期和地点变化。</x:v>
      </x:c>
      <x:c r="E42" s="52" t="str">
        <x:v>复合生业｜黍作、养猪、狩猎采集并存</x:v>
      </x:c>
      <x:c r="F42" s="52"/>
      <x:c r="G42" s="52"/>
      <x:c r="H42" s="52" t="str"/>
      <x:c r="I42" s="52" t="str">
        <x:v>区域生业综合</x:v>
      </x:c>
      <x:c r="J42" s="52" t="str">
        <x:v>SYN</x:v>
      </x:c>
      <x:c r="K42" s="52" t="str">
        <x:v>A2</x:v>
      </x:c>
      <x:c r="L42" s="52" t="str">
        <x:v>current</x:v>
      </x:c>
      <x:c r="M42" s="52" t="str">
        <x:v>各地各期比例不同</x:v>
      </x:c>
      <x:c r="N42" s="52" t="str">
        <x:v>成熟单一农业国家</x:v>
      </x:c>
      <x:c r="O42" s="52" t="str">
        <x:v>SRC-16</x:v>
      </x:c>
      <x:c r="P42" s="81" t="n">
        <x:v>46217</x:v>
      </x:c>
    </x:row>
    <x:row r="43">
      <x:c r="A43" s="37" t="str">
        <x:v>HIS-009</x:v>
      </x:c>
      <x:c r="B43" s="52" t="str">
        <x:v>HS-HISTORY</x:v>
      </x:c>
      <x:c r="C43" s="52" t="str">
        <x:v>调查史</x:v>
      </x:c>
      <x:c r="D43" s="52" t="str">
        <x:v>鸟居龙藏于1906—1908年间在赤峰红山一带开展调查。</x:v>
      </x:c>
      <x:c r="E43" s="52" t="str">
        <x:v>1906—1908｜赤峰红山调查</x:v>
      </x:c>
      <x:c r="F43" s="52" t="n">
        <x:v>1906</x:v>
      </x:c>
      <x:c r="G43" s="52" t="n">
        <x:v>1908</x:v>
      </x:c>
      <x:c r="H43" s="52" t="str">
        <x:v>年</x:v>
      </x:c>
      <x:c r="I43" s="52" t="str">
        <x:v>学术史节点</x:v>
      </x:c>
      <x:c r="J43" s="52" t="str">
        <x:v>OBS</x:v>
      </x:c>
      <x:c r="K43" s="52" t="str">
        <x:v>B1</x:v>
      </x:c>
      <x:c r="L43" s="52" t="str">
        <x:v>current</x:v>
      </x:c>
      <x:c r="M43" s="52" t="str"/>
      <x:c r="N43" s="52" t="str">
        <x:v>采用其早期族属判断</x:v>
      </x:c>
      <x:c r="O43" s="52" t="str">
        <x:v>SRC-19</x:v>
      </x:c>
      <x:c r="P43" s="81" t="n">
        <x:v>46217</x:v>
      </x:c>
    </x:row>
    <x:row r="44">
      <x:c r="A44" s="37" t="str">
        <x:v>HIS-010</x:v>
      </x:c>
      <x:c r="B44" s="52" t="str">
        <x:v>HS-HISTORY</x:v>
      </x:c>
      <x:c r="C44" s="52" t="str">
        <x:v>发掘史</x:v>
      </x:c>
      <x:c r="D44" s="52" t="str">
        <x:v>安特生1921年发掘沙锅屯洞穴，材料中包含后来被辨认为红山文化的陶片和石器。</x:v>
      </x:c>
      <x:c r="E44" s="52" t="str">
        <x:v>1921｜沙锅屯发掘含后来辨认的红山材料</x:v>
      </x:c>
      <x:c r="F44" s="52" t="n">
        <x:v>1921</x:v>
      </x:c>
      <x:c r="G44" s="52"/>
      <x:c r="H44" s="52" t="str">
        <x:v>年</x:v>
      </x:c>
      <x:c r="I44" s="52" t="str">
        <x:v>学术史节点</x:v>
      </x:c>
      <x:c r="J44" s="52" t="str">
        <x:v>OBS</x:v>
      </x:c>
      <x:c r="K44" s="52" t="str">
        <x:v>B1</x:v>
      </x:c>
      <x:c r="L44" s="52" t="str">
        <x:v>current</x:v>
      </x:c>
      <x:c r="M44" s="52" t="str">
        <x:v>后来被辨认</x:v>
      </x:c>
      <x:c r="N44" s="52" t="str">
        <x:v>当时已经命名红山文化</x:v>
      </x:c>
      <x:c r="O44" s="52" t="str">
        <x:v>SRC-19</x:v>
      </x:c>
      <x:c r="P44" s="81" t="n">
        <x:v>46217</x:v>
      </x:c>
    </x:row>
    <x:row r="45">
      <x:c r="A45" s="37" t="str">
        <x:v>HIS-011</x:v>
      </x:c>
      <x:c r="B45" s="52" t="str">
        <x:v>HS-HISTORY</x:v>
      </x:c>
      <x:c r="C45" s="52" t="str">
        <x:v>发掘史</x:v>
      </x:c>
      <x:c r="D45" s="52" t="str">
        <x:v>1935年红山后遗址被发掘，1938年出版《赤峰红山后》并提出赤峰一期、二期概念。</x:v>
      </x:c>
      <x:c r="E45" s="52" t="str">
        <x:v>1935发掘｜1938《赤峰红山后》</x:v>
      </x:c>
      <x:c r="F45" s="52" t="n">
        <x:v>1935</x:v>
      </x:c>
      <x:c r="G45" s="52" t="n">
        <x:v>1938</x:v>
      </x:c>
      <x:c r="H45" s="52" t="str">
        <x:v>年</x:v>
      </x:c>
      <x:c r="I45" s="52" t="str">
        <x:v>学术史节点</x:v>
      </x:c>
      <x:c r="J45" s="52" t="str">
        <x:v>OBS</x:v>
      </x:c>
      <x:c r="K45" s="52" t="str">
        <x:v>B1</x:v>
      </x:c>
      <x:c r="L45" s="52" t="str">
        <x:v>current</x:v>
      </x:c>
      <x:c r="M45" s="52" t="str">
        <x:v>当时年代判断后来修正</x:v>
      </x:c>
      <x:c r="N45" s="52" t="str">
        <x:v>沿用全部早期年代判断</x:v>
      </x:c>
      <x:c r="O45" s="52" t="str">
        <x:v>SRC-19</x:v>
      </x:c>
      <x:c r="P45" s="81" t="n">
        <x:v>46217</x:v>
      </x:c>
    </x:row>
    <x:row r="46">
      <x:c r="A46" s="37" t="str">
        <x:v>HIS-012</x:v>
      </x:c>
      <x:c r="B46" s="52" t="str">
        <x:v>HS-HISTORY</x:v>
      </x:c>
      <x:c r="C46" s="52" t="str">
        <x:v>命名史</x:v>
      </x:c>
      <x:c r="D46" s="52" t="str">
        <x:v>尹达于1954年正式使用“红山文化”名称。</x:v>
      </x:c>
      <x:c r="E46" s="52" t="str">
        <x:v>1954｜“红山文化”正式命名</x:v>
      </x:c>
      <x:c r="F46" s="52" t="n">
        <x:v>1954</x:v>
      </x:c>
      <x:c r="G46" s="52"/>
      <x:c r="H46" s="52" t="str">
        <x:v>年</x:v>
      </x:c>
      <x:c r="I46" s="52" t="str">
        <x:v>考古学命名史</x:v>
      </x:c>
      <x:c r="J46" s="52" t="str">
        <x:v>OBS</x:v>
      </x:c>
      <x:c r="K46" s="52" t="str">
        <x:v>B1</x:v>
      </x:c>
      <x:c r="L46" s="52" t="str">
        <x:v>current</x:v>
      </x:c>
      <x:c r="M46" s="52" t="str">
        <x:v>考古学名称</x:v>
      </x:c>
      <x:c r="N46" s="52" t="str">
        <x:v>红山人自称红山文化</x:v>
      </x:c>
      <x:c r="O46" s="52" t="str">
        <x:v>SRC-19</x:v>
      </x:c>
      <x:c r="P46" s="81" t="n">
        <x:v>46217</x:v>
      </x:c>
    </x:row>
    <x:row r="47">
      <x:c r="A47" s="37" t="str">
        <x:v>HIS-013</x:v>
      </x:c>
      <x:c r="B47" s="52" t="str">
        <x:v>HS-HISTORY</x:v>
      </x:c>
      <x:c r="C47" s="52" t="str">
        <x:v>调查史</x:v>
      </x:c>
      <x:c r="D47" s="52" t="str">
        <x:v>1956年北京大学等开展赤峰调查，进一步厘清红山材料与仰韶及后续文化的关系。</x:v>
      </x:c>
      <x:c r="E47" s="52" t="str">
        <x:v>1956｜赤峰调查推进文化关系研究</x:v>
      </x:c>
      <x:c r="F47" s="52" t="n">
        <x:v>1956</x:v>
      </x:c>
      <x:c r="G47" s="52"/>
      <x:c r="H47" s="52" t="str">
        <x:v>年</x:v>
      </x:c>
      <x:c r="I47" s="52" t="str">
        <x:v>学术史节点</x:v>
      </x:c>
      <x:c r="J47" s="52" t="str">
        <x:v>SYN</x:v>
      </x:c>
      <x:c r="K47" s="52" t="str">
        <x:v>B1</x:v>
      </x:c>
      <x:c r="L47" s="52" t="str">
        <x:v>current</x:v>
      </x:c>
      <x:c r="M47" s="52" t="str">
        <x:v>进一步厘清</x:v>
      </x:c>
      <x:c r="N47" s="52" t="str">
        <x:v>文化关系从此完全定论</x:v>
      </x:c>
      <x:c r="O47" s="52" t="str">
        <x:v>SRC-19</x:v>
      </x:c>
      <x:c r="P47" s="81" t="n">
        <x:v>46217</x:v>
      </x:c>
    </x:row>
    <x:row r="48">
      <x:c r="A48" s="37" t="str">
        <x:v>HIS-014</x:v>
      </x:c>
      <x:c r="B48" s="52" t="str">
        <x:v>NHL-SG</x:v>
      </x:c>
      <x:c r="C48" s="52" t="str">
        <x:v>发现史</x:v>
      </x:c>
      <x:c r="D48" s="52" t="str">
        <x:v>2013年UNESCO申报文本记载：1981年辽宁第二次文物普查在牛河梁发现并编号16个地点。</x:v>
      </x:c>
      <x:c r="E48" s="52" t="str">
        <x:v>1981｜发现并编号16个地点（2013文本）</x:v>
      </x:c>
      <x:c r="F48" s="52" t="n">
        <x:v>16</x:v>
      </x:c>
      <x:c r="G48" s="52"/>
      <x:c r="H48" s="52" t="str">
        <x:v>处</x:v>
      </x:c>
      <x:c r="I48" s="52" t="str">
        <x:v>2013申报文本的工作史</x:v>
      </x:c>
      <x:c r="J48" s="52" t="str">
        <x:v>OBS</x:v>
      </x:c>
      <x:c r="K48" s="52" t="str">
        <x:v>B2</x:v>
      </x:c>
      <x:c r="L48" s="52" t="str">
        <x:v>current</x:v>
      </x:c>
      <x:c r="M48" s="52" t="str">
        <x:v>申报文本记载</x:v>
      </x:c>
      <x:c r="N48" s="52" t="str">
        <x:v>2026仍只有16处</x:v>
      </x:c>
      <x:c r="O48" s="52" t="str">
        <x:v>SRC-11</x:v>
      </x:c>
      <x:c r="P48" s="81" t="n">
        <x:v>46217</x:v>
      </x:c>
    </x:row>
    <x:row r="49">
      <x:c r="A49" s="37" t="str">
        <x:v>HIS-015</x:v>
      </x:c>
      <x:c r="B49" s="52" t="str">
        <x:v>NHL-SG</x:v>
      </x:c>
      <x:c r="C49" s="52" t="str">
        <x:v>发掘史</x:v>
      </x:c>
      <x:c r="D49" s="52" t="str">
        <x:v>主要发掘在1983—2003年涉及第2、3、5、16地点，三卷本考古报告于2012年出版。</x:v>
      </x:c>
      <x:c r="E49" s="52" t="str">
        <x:v>1983—2003发掘｜2012三卷本报告</x:v>
      </x:c>
      <x:c r="F49" s="52" t="n">
        <x:v>1983</x:v>
      </x:c>
      <x:c r="G49" s="52" t="n">
        <x:v>2012</x:v>
      </x:c>
      <x:c r="H49" s="52" t="str">
        <x:v>年</x:v>
      </x:c>
      <x:c r="I49" s="52" t="str">
        <x:v>考古工作时间线</x:v>
      </x:c>
      <x:c r="J49" s="52" t="str">
        <x:v>OBS</x:v>
      </x:c>
      <x:c r="K49" s="52" t="str">
        <x:v>B1</x:v>
      </x:c>
      <x:c r="L49" s="52" t="str">
        <x:v>current</x:v>
      </x:c>
      <x:c r="M49" s="52" t="str">
        <x:v>主要；涉及</x:v>
      </x:c>
      <x:c r="N49" s="52" t="str">
        <x:v>期间只发掘这些地点</x:v>
      </x:c>
      <x:c r="O49" s="52" t="str">
        <x:v>SRC-19</x:v>
      </x:c>
      <x:c r="P49" s="81" t="n">
        <x:v>46217</x:v>
      </x:c>
    </x:row>
    <x:row r="50">
      <x:c r="A50" s="37" t="str">
        <x:v>HIS-016</x:v>
      </x:c>
      <x:c r="B50" s="52" t="str">
        <x:v>NHL-SG</x:v>
      </x:c>
      <x:c r="C50" s="52" t="str">
        <x:v>地形</x:v>
      </x:c>
      <x:c r="D50" s="52" t="str">
        <x:v>牛河梁地处山地河谷环境，许多地点位于山脊或丘顶，海拔约550—680米。</x:v>
      </x:c>
      <x:c r="E50" s="52" t="str">
        <x:v>山地河谷｜约海拔550—680m</x:v>
      </x:c>
      <x:c r="F50" s="52" t="n">
        <x:v>550</x:v>
      </x:c>
      <x:c r="G50" s="52" t="n">
        <x:v>680</x:v>
      </x:c>
      <x:c r="H50" s="52" t="str">
        <x:v>m</x:v>
      </x:c>
      <x:c r="I50" s="52" t="str">
        <x:v>遗址群地形概述</x:v>
      </x:c>
      <x:c r="J50" s="52" t="str">
        <x:v>OBS</x:v>
      </x:c>
      <x:c r="K50" s="52" t="str">
        <x:v>B2</x:v>
      </x:c>
      <x:c r="L50" s="52" t="str">
        <x:v>current</x:v>
      </x:c>
      <x:c r="M50" s="52" t="str">
        <x:v>约；许多地点</x:v>
      </x:c>
      <x:c r="N50" s="52" t="str">
        <x:v>地形直接证明宗教规划</x:v>
      </x:c>
      <x:c r="O50" s="52" t="str">
        <x:v>SRC-11</x:v>
      </x:c>
      <x:c r="P50" s="81" t="n">
        <x:v>46217</x:v>
      </x:c>
    </x:row>
    <x:row r="51">
      <x:c r="A51" s="37" t="str">
        <x:v>HIS-017</x:v>
      </x:c>
      <x:c r="B51" s="52" t="str">
        <x:v>WJWP</x:v>
      </x:c>
      <x:c r="C51" s="52" t="str">
        <x:v>聚落</x:v>
      </x:c>
      <x:c r="D51" s="52" t="str">
        <x:v>UNESCO申报文本称魏家窝铺遗址约9.3万平方米，2009—2011年发掘发现103座半地穴房址、201处窖穴及祭祀坑和沟壕。</x:v>
      </x:c>
      <x:c r="E51" s="52" t="str">
        <x:v>魏家窝铺｜约9.3万m²、103房址、201窖穴等</x:v>
      </x:c>
      <x:c r="F51" s="52" t="n">
        <x:v>93000</x:v>
      </x:c>
      <x:c r="G51" s="52" t="n">
        <x:v>201</x:v>
      </x:c>
      <x:c r="H51" s="52" t="str">
        <x:v>m²/处</x:v>
      </x:c>
      <x:c r="I51" s="52" t="str">
        <x:v>2013申报文本综合</x:v>
      </x:c>
      <x:c r="J51" s="52" t="str">
        <x:v>OBS</x:v>
      </x:c>
      <x:c r="K51" s="52" t="str">
        <x:v>B2</x:v>
      </x:c>
      <x:c r="L51" s="52" t="str">
        <x:v>current</x:v>
      </x:c>
      <x:c r="M51" s="52" t="str">
        <x:v>申报文本术语</x:v>
      </x:c>
      <x:c r="N51" s="52" t="str">
        <x:v>所有红山聚落都同规模</x:v>
      </x:c>
      <x:c r="O51" s="52" t="str">
        <x:v>SRC-11</x:v>
      </x:c>
      <x:c r="P51" s="81" t="n">
        <x:v>46217</x:v>
      </x:c>
    </x:row>
    <x:row r="52">
      <x:c r="A52" s="37" t="str">
        <x:v>HIS-018</x:v>
      </x:c>
      <x:c r="B52" s="52" t="str">
        <x:v>YL-REGION</x:v>
      </x:c>
      <x:c r="C52" s="52" t="str">
        <x:v>区域复杂化</x:v>
      </x:c>
      <x:c r="D52" s="52" t="str">
        <x:v>区域大样本研究显示红山阶段遗址数量和密度增长，聚落与生业复杂度有所提高。</x:v>
      </x:c>
      <x:c r="E52" s="52" t="str">
        <x:v>红山阶段｜区域遗址密度与复杂度提高</x:v>
      </x:c>
      <x:c r="F52" s="52"/>
      <x:c r="G52" s="52"/>
      <x:c r="H52" s="52" t="str"/>
      <x:c r="I52" s="52" t="str">
        <x:v>燕辽区域模型</x:v>
      </x:c>
      <x:c r="J52" s="52" t="str">
        <x:v>SYN</x:v>
      </x:c>
      <x:c r="K52" s="52" t="str">
        <x:v>A2</x:v>
      </x:c>
      <x:c r="L52" s="52" t="str">
        <x:v>current</x:v>
      </x:c>
      <x:c r="M52" s="52" t="str">
        <x:v>区域研究显示</x:v>
      </x:c>
      <x:c r="N52" s="52" t="str">
        <x:v>替代单个遗址结论</x:v>
      </x:c>
      <x:c r="O52" s="52" t="str">
        <x:v>SRC-20</x:v>
      </x:c>
      <x:c r="P52" s="81" t="n">
        <x:v>46217</x:v>
      </x:c>
    </x:row>
    <x:row r="53">
      <x:c r="A53" s="37" t="str">
        <x:v>HIS-019</x:v>
      </x:c>
      <x:c r="B53" s="52" t="str">
        <x:v>LN-SURVEY</x:v>
      </x:c>
      <x:c r="C53" s="52" t="str">
        <x:v>区域调查</x:v>
      </x:c>
      <x:c r="D53" s="52" t="str">
        <x:v>2017年以来辽宁重点区域调查发现红山文化遗迹840余处，其中730多处为新发现。</x:v>
      </x:c>
      <x:c r="E53" s="52" t="str">
        <x:v>2017年以来｜840+遗迹、730+新发现</x:v>
      </x:c>
      <x:c r="F53" s="52" t="n">
        <x:v>840</x:v>
      </x:c>
      <x:c r="G53" s="52" t="n">
        <x:v>730</x:v>
      </x:c>
      <x:c r="H53" s="52" t="str">
        <x:v>处</x:v>
      </x:c>
      <x:c r="I53" s="52" t="str">
        <x:v>截至2026-03阶段统计</x:v>
      </x:c>
      <x:c r="J53" s="52" t="str">
        <x:v>OBS</x:v>
      </x:c>
      <x:c r="K53" s="52" t="str">
        <x:v>A2</x:v>
      </x:c>
      <x:c r="L53" s="52" t="str">
        <x:v>current</x:v>
      </x:c>
      <x:c r="M53" s="52" t="str">
        <x:v>余；多；截至报道</x:v>
      </x:c>
      <x:c r="N53" s="52" t="str">
        <x:v>最终固定总数</x:v>
      </x:c>
      <x:c r="O53" s="52" t="str">
        <x:v>SRC-01</x:v>
      </x:c>
      <x:c r="P53" s="81" t="n">
        <x:v>46217</x:v>
      </x:c>
    </x:row>
    <x:row r="54">
      <x:c r="A54" s="39" t="str">
        <x:v>HIS-020</x:v>
      </x:c>
      <x:c r="B54" s="53" t="str">
        <x:v>NHL-SG</x:v>
      </x:c>
      <x:c r="C54" s="53" t="str">
        <x:v>旧认识</x:v>
      </x:c>
      <x:c r="D54" s="53" t="str">
        <x:v>2013年申遗文本称牛河梁约50平方公里范围内尚未发现居住聚落，祭祀中心与居住区分离。</x:v>
      </x:c>
      <x:c r="E54" s="53" t="str">
        <x:v>2013认识｜尚未发现居住聚落，祭祀与居住分离</x:v>
      </x:c>
      <x:c r="F54" s="53" t="n">
        <x:v>50</x:v>
      </x:c>
      <x:c r="G54" s="53"/>
      <x:c r="H54" s="53" t="str">
        <x:v>km²</x:v>
      </x:c>
      <x:c r="I54" s="53" t="str">
        <x:v>2013申报认识</x:v>
      </x:c>
      <x:c r="J54" s="53" t="str">
        <x:v>SYN</x:v>
      </x:c>
      <x:c r="K54" s="53" t="str">
        <x:v>B2</x:v>
      </x:c>
      <x:c r="L54" s="53" t="str">
        <x:v>superseded</x:v>
      </x:c>
      <x:c r="M54" s="53" t="str">
        <x:v>2013文本；尚未发现</x:v>
      </x:c>
      <x:c r="N54" s="53" t="str">
        <x:v>牛河梁至今无人居住</x:v>
      </x:c>
      <x:c r="O54" s="53" t="str">
        <x:v>SRC-11</x:v>
      </x:c>
      <x:c r="P54" s="82" t="n">
        <x:v>46217</x:v>
      </x:c>
    </x:row>
  </x:sheetData>
  <x:mergeCells>
    <x:mergeCell ref="A1:P1"/>
    <x:mergeCell ref="A2:P2"/>
  </x:mergeCells>
  <x:conditionalFormatting sqref="J5:J300">
    <x:cfRule type="containsText" dxfId="0" priority="1" operator="containsText" text="OBS"/>
    <x:cfRule type="containsText" dxfId="1" priority="2" operator="containsText" text="HYP"/>
  </x:conditionalFormatting>
  <x:dataValidations count="2">
    <x:dataValidation type="list" sqref="J5:J300">
      <x:formula1>"OBS,SYN,INF,HYP"</x:formula1>
    </x:dataValidation>
    <x:dataValidation type="list" sqref="L5:L300">
      <x:formula1>"current,preliminary,disputed,superseded"</x:formula1>
    </x:dataValidation>
  </x:dataValidations>
  <x:pageMargins left="0.7" right="0.7" top="0.75" bottom="0.75" header="0.3" footer="0.3"/>
  <x:tableParts count="1">
    <x:tablePart xmlns:r="http://schemas.openxmlformats.org/officeDocument/2006/relationships" r:id="R3c671966ca1540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2.220000267028809" hidden="0" customWidth="1"/>
    <x:col min="3" max="3" width="31.110000610351562" hidden="0" customWidth="1"/>
    <x:col min="4" max="4" width="24.440000534057617" hidden="0" customWidth="1"/>
    <x:col min="5" max="5" width="26.670000076293945" hidden="0" customWidth="1"/>
    <x:col min="6" max="6" width="27.780000686645508" hidden="0" customWidth="1"/>
  </x:cols>
  <x:sheetData>
    <x:row r="1" ht="34" customHeight="1">
      <x:c r="A1" s="3" t="str">
        <x:v>口径冲突表</x:v>
      </x:c>
    </x:row>
    <x:row r="2" ht="30" customHeight="1">
      <x:c r="A2" s="7" t="str">
        <x:v>冲突数字不覆盖、不平均；按日期、空间、统计范围和语义并存。</x:v>
      </x:c>
    </x:row>
    <x:row r="3" ht="8" customHeight="1"/>
    <x:row r="4" ht="30" customHeight="1">
      <x:c r="A4" s="20" t="str">
        <x:v>conflict_id</x:v>
      </x:c>
      <x:c r="B4" s="44" t="str">
        <x:v>topic</x:v>
      </x:c>
      <x:c r="C4" s="44" t="str">
        <x:v>public_values</x:v>
      </x:c>
      <x:c r="D4" s="44" t="str">
        <x:v>scope_difference</x:v>
      </x:c>
      <x:c r="E4" s="44" t="str">
        <x:v>product_treatment</x:v>
      </x:c>
      <x:c r="F4" s="21" t="str">
        <x:v>red_line</x:v>
      </x:c>
    </x:row>
    <x:row r="5">
      <x:c r="A5" s="35" t="str">
        <x:v>CON-01</x:v>
      </x:c>
      <x:c r="B5" s="51" t="str">
        <x:v>遗址范围</x:v>
      </x:c>
      <x:c r="C5" s="51" t="str">
        <x:v>约50km²；近60km²；法定保护区另有具体面积</x:v>
      </x:c>
      <x:c r="D5" s="51" t="str">
        <x:v>研究范围/保护范围/开放范围</x:v>
      </x:c>
      <x:c r="E5" s="51" t="str">
        <x:v>全部保留并显示语义</x:v>
      </x:c>
      <x:c r="F5" s="36" t="str">
        <x:v>不可互换</x:v>
      </x:c>
    </x:row>
    <x:row r="6">
      <x:c r="A6" s="37" t="str">
        <x:v>CON-02</x:v>
      </x:c>
      <x:c r="B6" s="52" t="str">
        <x:v>遗址点数</x:v>
      </x:c>
      <x:c r="C6" s="52" t="str">
        <x:v>2020年27；2024年67；2026年2月51；2026年3月65</x:v>
      </x:c>
      <x:c r="D6" s="52" t="str">
        <x:v>年份、范围、发现/确认/编号</x:v>
      </x:c>
      <x:c r="E6" s="52" t="str">
        <x:v>按时间线展示</x:v>
      </x:c>
      <x:c r="F6" s="38" t="str">
        <x:v>不可累加</x:v>
      </x:c>
    </x:row>
    <x:row r="7">
      <x:c r="A7" s="37" t="str">
        <x:v>CON-03</x:v>
      </x:c>
      <x:c r="B7" s="52" t="str">
        <x:v>台基群面积</x:v>
      </x:c>
      <x:c r="C7" s="52" t="str">
        <x:v>近4万；约6万；含附属约10万m²</x:v>
      </x:c>
      <x:c r="D7" s="52" t="str">
        <x:v>可见/本体/含附属</x:v>
      </x:c>
      <x:c r="E7" s="52" t="str">
        <x:v>measurement_scope分条</x:v>
      </x:c>
      <x:c r="F7" s="38" t="str">
        <x:v>不可选最大数冒充唯一结论</x:v>
      </x:c>
    </x:row>
    <x:row r="8">
      <x:c r="A8" s="37" t="str">
        <x:v>CON-04</x:v>
      </x:c>
      <x:c r="B8" s="52" t="str">
        <x:v>女神庙长度</x:v>
      </x:c>
      <x:c r="C8" s="52" t="str">
        <x:v>18.4m主体；约22m总体；25m旧资料</x:v>
      </x:c>
      <x:c r="D8" s="52" t="str">
        <x:v>主体/总体/旧资料</x:v>
      </x:c>
      <x:c r="E8" s="52" t="str">
        <x:v>并置，不相加不平均</x:v>
      </x:c>
      <x:c r="F8" s="38" t="str">
        <x:v>不可生成伪精确值</x:v>
      </x:c>
    </x:row>
    <x:row r="9">
      <x:c r="A9" s="37" t="str">
        <x:v>CON-05</x:v>
      </x:c>
      <x:c r="B9" s="52" t="str">
        <x:v>年代</x:v>
      </x:c>
      <x:c r="C9" s="52" t="str">
        <x:v>5500—5000；5800—5000；5800—5200</x:v>
      </x:c>
      <x:c r="D9" s="52" t="str">
        <x:v>传统概述/遗址时间窗/阶段框架</x:v>
      </x:c>
      <x:c r="E9" s="52" t="str">
        <x:v>双层时间轴</x:v>
      </x:c>
      <x:c r="F9" s="38" t="str">
        <x:v>5800不是统一建成年份</x:v>
      </x:c>
    </x:row>
    <x:row r="10">
      <x:c r="A10" s="37" t="str">
        <x:v>CON-06</x:v>
      </x:c>
      <x:c r="B10" s="52" t="str">
        <x:v>祭祀与居住</x:v>
      </x:c>
      <x:c r="C10" s="52" t="str">
        <x:v>2013文本未发现居住聚落；2026调查提示生活活动</x:v>
      </x:c>
      <x:c r="D10" s="52" t="str">
        <x:v>认知更新</x:v>
      </x:c>
      <x:c r="E10" s="52" t="str">
        <x:v>做擦拭对照</x:v>
      </x:c>
      <x:c r="F10" s="38" t="str">
        <x:v>旧资料不删除；新判断仍需限定</x:v>
      </x:c>
    </x:row>
    <x:row r="11">
      <x:c r="A11" s="37" t="str">
        <x:v>CON-07</x:v>
      </x:c>
      <x:c r="B11" s="52" t="str">
        <x:v>玉器数量</x:v>
      </x:c>
      <x:c r="C11" s="52" t="str">
        <x:v>66墓样本145件；全遗址其他统计</x:v>
      </x:c>
      <x:c r="D11" s="52" t="str">
        <x:v>样本、阶段、时间不同</x:v>
      </x:c>
      <x:c r="E11" s="52" t="str">
        <x:v>分别统计</x:v>
      </x:c>
      <x:c r="F11" s="38" t="str">
        <x:v>不可相加</x:v>
      </x:c>
    </x:row>
    <x:row r="12">
      <x:c r="A12" s="39" t="str">
        <x:v>CON-08</x:v>
      </x:c>
      <x:c r="B12" s="53" t="str">
        <x:v>保护规划</x:v>
      </x:c>
      <x:c r="C12" s="53" t="str">
        <x:v>《2025—2040规划》</x:v>
      </x:c>
      <x:c r="D12" s="53" t="str">
        <x:v>征求意见稿/正式批复</x:v>
      </x:c>
      <x:c r="E12" s="53" t="str">
        <x:v>截至核验日标draft</x:v>
      </x:c>
      <x:c r="F12" s="40" t="str">
        <x:v>未核正式公告前不可写已批准</x:v>
      </x:c>
    </x:row>
  </x:sheetData>
  <x:mergeCells>
    <x:mergeCell ref="A1:F1"/>
    <x:mergeCell ref="A2:F2"/>
  </x:mergeCells>
  <x:pageMargins left="0.7" right="0.7" top="0.75" bottom="0.75" header="0.3" footer="0.3"/>
  <x:tableParts count="1">
    <x:tablePart xmlns:r="http://schemas.openxmlformats.org/officeDocument/2006/relationships" r:id="Rec0789bfd19149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4399995803833" hidden="0" customWidth="1"/>
    <x:col min="2" max="2" width="12.220000267028809" hidden="0" customWidth="1"/>
    <x:col min="3" max="3" width="11.109999656677246" hidden="0" customWidth="1"/>
    <x:col min="4" max="4" width="33.33000183105469" hidden="0" customWidth="1"/>
    <x:col min="5" max="5" width="11.109999656677246" hidden="0" customWidth="1"/>
    <x:col min="6" max="6" width="36.66999816894531" hidden="0" customWidth="1"/>
    <x:col min="7" max="7" width="16.670000076293945" hidden="0" customWidth="1"/>
    <x:col min="8" max="8" width="27.780000686645508" hidden="0" customWidth="1"/>
  </x:cols>
  <x:sheetData>
    <x:row r="1" ht="34" customHeight="1">
      <x:c r="A1" s="3" t="str">
        <x:v>知识版本树</x:v>
      </x:c>
    </x:row>
    <x:row r="2" ht="30" customHeight="1">
      <x:c r="A2" s="7" t="str">
        <x:v>用旧认识与新证据的关系驱动核心交互；旧记录不删除，使用superseded_by / qualified_by / expanded_by等关系连接。</x:v>
      </x:c>
    </x:row>
    <x:row r="3" ht="8" customHeight="1"/>
    <x:row r="4" ht="30" customHeight="1">
      <x:c r="A4" s="20" t="str">
        <x:v>version_id</x:v>
      </x:c>
      <x:c r="B4" s="44" t="str">
        <x:v>topic</x:v>
      </x:c>
      <x:c r="C4" s="44" t="str">
        <x:v>old_claim_id</x:v>
      </x:c>
      <x:c r="D4" s="44" t="str">
        <x:v>old_model</x:v>
      </x:c>
      <x:c r="E4" s="44" t="str">
        <x:v>new_claim_id</x:v>
      </x:c>
      <x:c r="F4" s="44" t="str">
        <x:v>new_evidence</x:v>
      </x:c>
      <x:c r="G4" s="44" t="str">
        <x:v>relation</x:v>
      </x:c>
      <x:c r="H4" s="21" t="str">
        <x:v>display_rule</x:v>
      </x:c>
    </x:row>
    <x:row r="5">
      <x:c r="A5" s="35" t="str">
        <x:v>VER-01</x:v>
      </x:c>
      <x:c r="B5" s="51" t="str">
        <x:v>居住证据</x:v>
      </x:c>
      <x:c r="C5" s="51" t="str">
        <x:v>HIS-020</x:v>
      </x:c>
      <x:c r="D5" s="51" t="str">
        <x:v>2013申报文本：约50km²范围内尚未发现居住聚落</x:v>
      </x:c>
      <x:c r="E5" s="51" t="str">
        <x:v>CLM-024</x:v>
      </x:c>
      <x:c r="F5" s="51" t="str">
        <x:v>2026区域调查：发现生活活动，礼仪与居住空间关系更复杂</x:v>
      </x:c>
      <x:c r="G5" s="51" t="str">
        <x:v>superseded_by / qualifies</x:v>
      </x:c>
      <x:c r="H5" s="36" t="str">
        <x:v>新证据修正旧模型，不写‘旧考古完全错误’</x:v>
      </x:c>
    </x:row>
    <x:row r="6">
      <x:c r="A6" s="37" t="str">
        <x:v>VER-02</x:v>
      </x:c>
      <x:c r="B6" s="52" t="str">
        <x:v>遗址点数量</x:v>
      </x:c>
      <x:c r="C6" s="52" t="str">
        <x:v>HIS-014</x:v>
      </x:c>
      <x:c r="D6" s="52" t="str">
        <x:v>1981发现并编号16个地点</x:v>
      </x:c>
      <x:c r="E6" s="52" t="str">
        <x:v>CLM-023</x:v>
      </x:c>
      <x:c r="F6" s="52" t="str">
        <x:v>2026报道：约50km²内增至65处，49处近年新发现</x:v>
      </x:c>
      <x:c r="G6" s="52" t="str">
        <x:v>expanded_by</x:v>
      </x:c>
      <x:c r="H6" s="38" t="str">
        <x:v>注明调查范围、方法与统计日期</x:v>
      </x:c>
    </x:row>
    <x:row r="7">
      <x:c r="A7" s="37" t="str">
        <x:v>VER-03</x:v>
      </x:c>
      <x:c r="B7" s="52" t="str">
        <x:v>遗址性质</x:v>
      </x:c>
      <x:c r="C7" s="52" t="str">
        <x:v>HIS-020</x:v>
      </x:c>
      <x:c r="D7" s="52" t="str">
        <x:v>主要被理解为与居住区分离的特殊礼仪中心</x:v>
      </x:c>
      <x:c r="E7" s="52" t="str">
        <x:v>CLM-024</x:v>
      </x:c>
      <x:c r="F7" s="52" t="str">
        <x:v>最新调查提示同时存在聚落、生活与礼仪活动</x:v>
      </x:c>
      <x:c r="G7" s="52" t="str">
        <x:v>reframed_by</x:v>
      </x:c>
      <x:c r="H7" s="38" t="str">
        <x:v>不要从‘纯祭祀’跳到‘已证实都城’</x:v>
      </x:c>
    </x:row>
    <x:row r="8">
      <x:c r="A8" s="37" t="str">
        <x:v>VER-04</x:v>
      </x:c>
      <x:c r="B8" s="52" t="str">
        <x:v>第十三地点</x:v>
      </x:c>
      <x:c r="C8" s="52" t="str"/>
      <x:c r="D8" s="52" t="str">
        <x:v>早期俗称或媒体以‘金字塔’想象</x:v>
      </x:c>
      <x:c r="E8" s="52" t="str">
        <x:v>CLM-028</x:v>
      </x:c>
      <x:c r="F8" s="52" t="str">
        <x:v>2025发掘后：大型土石建筑，初步判断为独立大型祭坛</x:v>
      </x:c>
      <x:c r="G8" s="52" t="str">
        <x:v>replaced_by</x:v>
      </x:c>
      <x:c r="H8" s="38" t="str">
        <x:v>禁用金字塔；保留初步判断</x:v>
      </x:c>
    </x:row>
    <x:row r="9">
      <x:c r="A9" s="39" t="str">
        <x:v>VER-05</x:v>
      </x:c>
      <x:c r="B9" s="53" t="str">
        <x:v>玉器来源</x:v>
      </x:c>
      <x:c r="C9" s="53" t="str"/>
      <x:c r="D9" s="53" t="str">
        <x:v>过去常以单一产地叙述</x:v>
      </x:c>
      <x:c r="E9" s="53" t="str">
        <x:v>CLM-029</x:v>
      </x:c>
      <x:c r="F9" s="53" t="str">
        <x:v>300+样本检测推进中，原料来源与交流路线仍待研究</x:v>
      </x:c>
      <x:c r="G9" s="53" t="str">
        <x:v>qualified_by</x:v>
      </x:c>
      <x:c r="H9" s="40" t="str">
        <x:v>不得写玉料全部来自某地</x:v>
      </x:c>
    </x:row>
  </x:sheetData>
  <x:mergeCells>
    <x:mergeCell ref="A1:H1"/>
    <x:mergeCell ref="A2:H2"/>
  </x:mergeCells>
  <x:pageMargins left="0.7" right="0.7" top="0.75" bottom="0.75" header="0.3" footer="0.3"/>
  <x:tableParts count="1">
    <x:tablePart xmlns:r="http://schemas.openxmlformats.org/officeDocument/2006/relationships" r:id="Ra4be31fc09e04f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2.220000267028809" hidden="0" customWidth="1"/>
    <x:col min="3" max="3" width="18.889999389648438" hidden="0" customWidth="1"/>
    <x:col min="4" max="4" width="27.780000686645508" hidden="0" customWidth="1"/>
    <x:col min="5" max="5" width="28.889999389648438" hidden="0" customWidth="1"/>
    <x:col min="6" max="6" width="20" hidden="0" customWidth="1"/>
    <x:col min="7" max="7" width="8.890000343322754" hidden="0" customWidth="1"/>
    <x:col min="8" max="8" width="11.109999656677246" hidden="0" customWidth="1"/>
    <x:col min="9" max="9" width="24.440000534057617" hidden="0" customWidth="1"/>
  </x:cols>
  <x:sheetData>
    <x:row r="1" ht="34" customHeight="1">
      <x:c r="A1" s="3" t="str">
        <x:v>双层内容架构</x:v>
      </x:c>
    </x:row>
    <x:row r="2" ht="30" customHeight="1">
      <x:c r="A2" s="7" t="str">
        <x:v>文明长卷负责系统历史与大信息量；证据实验室负责原创互动和最新研究；成果层负责分享与带走。</x:v>
      </x:c>
    </x:row>
    <x:row r="3" ht="8" customHeight="1"/>
    <x:row r="4" ht="30" customHeight="1">
      <x:c r="A4" s="20" t="str">
        <x:v>module_id</x:v>
      </x:c>
      <x:c r="B4" s="44" t="str">
        <x:v>layer</x:v>
      </x:c>
      <x:c r="C4" s="44" t="str">
        <x:v>chapter</x:v>
      </x:c>
      <x:c r="D4" s="44" t="str">
        <x:v>learning_question</x:v>
      </x:c>
      <x:c r="E4" s="44" t="str">
        <x:v>content_scope</x:v>
      </x:c>
      <x:c r="F4" s="44" t="str">
        <x:v>interaction</x:v>
      </x:c>
      <x:c r="G4" s="44" t="str">
        <x:v>priority</x:v>
      </x:c>
      <x:c r="H4" s="44" t="str">
        <x:v>duration</x:v>
      </x:c>
      <x:c r="I4" s="21" t="str">
        <x:v>boundary</x:v>
      </x:c>
    </x:row>
    <x:row r="5">
      <x:c r="A5" s="35" t="str">
        <x:v>PAN-00</x:v>
      </x:c>
      <x:c r="B5" s="51" t="str">
        <x:v>文明长卷</x:v>
      </x:c>
      <x:c r="C5" s="51" t="str">
        <x:v>序章·曙光坐标</x:v>
      </x:c>
      <x:c r="D5" s="51" t="str">
        <x:v>牛河梁与红山文化处在怎样的时间、空间中？</x:v>
      </x:c>
      <x:c r="E5" s="51" t="str">
        <x:v>地图、时间轴、核心术语</x:v>
      </x:c>
      <x:c r="F5" s="51" t="str">
        <x:v>时间滑杆+地图缩放</x:v>
      </x:c>
      <x:c r="G5" s="51" t="str">
        <x:v>P0</x:v>
      </x:c>
      <x:c r="H5" s="51" t="str">
        <x:v>5—8分钟</x:v>
      </x:c>
      <x:c r="I5" s="36" t="str">
        <x:v>所有模式入口</x:v>
      </x:c>
    </x:row>
    <x:row r="6">
      <x:c r="A6" s="37" t="str">
        <x:v>PAN-01</x:v>
      </x:c>
      <x:c r="B6" s="52" t="str">
        <x:v>文明长卷</x:v>
      </x:c>
      <x:c r="C6" s="52" t="str">
        <x:v>辽西大地与环境</x:v>
      </x:c>
      <x:c r="D6" s="52" t="str">
        <x:v>为何这一地区形成持续的新石器文化发展？</x:v>
      </x:c>
      <x:c r="E6" s="52" t="str">
        <x:v>地貌、水系、资源、环境变化</x:v>
      </x:c>
      <x:c r="F6" s="52" t="str">
        <x:v>分层地形图+季节微动效</x:v>
      </x:c>
      <x:c r="G6" s="52" t="str">
        <x:v>P0</x:v>
      </x:c>
      <x:c r="H6" s="52" t="str">
        <x:v>3—5分钟</x:v>
      </x:c>
      <x:c r="I6" s="38" t="str">
        <x:v>不得做环境决定论</x:v>
      </x:c>
    </x:row>
    <x:row r="7">
      <x:c r="A7" s="37" t="str">
        <x:v>PAN-02</x:v>
      </x:c>
      <x:c r="B7" s="52" t="str">
        <x:v>文明长卷</x:v>
      </x:c>
      <x:c r="C7" s="52" t="str">
        <x:v>文化序列与源流</x:v>
      </x:c>
      <x:c r="D7" s="52" t="str">
        <x:v>小河西、兴隆洼、赵宝沟、红山、小河沿如何前后衔接？</x:v>
      </x:c>
      <x:c r="E7" s="52" t="str">
        <x:v>年代、区域、典型遗存、关系边界</x:v>
      </x:c>
      <x:c r="F7" s="52" t="str">
        <x:v>可缩放文化序列长卷</x:v>
      </x:c>
      <x:c r="G7" s="52" t="str">
        <x:v>P0</x:v>
      </x:c>
      <x:c r="H7" s="52" t="str">
        <x:v>6—10分钟</x:v>
      </x:c>
      <x:c r="I7" s="38" t="str">
        <x:v>具体年代须逐条来源</x:v>
      </x:c>
    </x:row>
    <x:row r="8">
      <x:c r="A8" s="37" t="str">
        <x:v>PAN-03</x:v>
      </x:c>
      <x:c r="B8" s="52" t="str">
        <x:v>文明长卷</x:v>
      </x:c>
      <x:c r="C8" s="52" t="str">
        <x:v>生产生活与聚落</x:v>
      </x:c>
      <x:c r="D8" s="52" t="str">
        <x:v>人们如何居住、获取食物与组织日常生活？</x:v>
      </x:c>
      <x:c r="E8" s="52" t="str">
        <x:v>房址、聚落、农业、采集狩猎、陶器</x:v>
      </x:c>
      <x:c r="F8" s="52" t="str">
        <x:v>聚落剖面+器物用途筛选</x:v>
      </x:c>
      <x:c r="G8" s="52" t="str">
        <x:v>P0</x:v>
      </x:c>
      <x:c r="H8" s="52" t="str">
        <x:v>5—8分钟</x:v>
      </x:c>
      <x:c r="I8" s="38" t="str">
        <x:v>避免把一个遗址推及全文化</x:v>
      </x:c>
    </x:row>
    <x:row r="9">
      <x:c r="A9" s="37" t="str">
        <x:v>PAN-04</x:v>
      </x:c>
      <x:c r="B9" s="52" t="str">
        <x:v>文明长卷</x:v>
      </x:c>
      <x:c r="C9" s="52" t="str">
        <x:v>工艺、陶器与交换</x:v>
      </x:c>
      <x:c r="D9" s="52" t="str">
        <x:v>材料技术如何连接区域与人群？</x:v>
      </x:c>
      <x:c r="E9" s="52" t="str">
        <x:v>制陶、石器、玉作、原料与检测</x:v>
      </x:c>
      <x:c r="F9" s="52" t="str">
        <x:v>工艺步骤+材料网络</x:v>
      </x:c>
      <x:c r="G9" s="52" t="str">
        <x:v>P0</x:v>
      </x:c>
      <x:c r="H9" s="52" t="str">
        <x:v>5—8分钟</x:v>
      </x:c>
      <x:c r="I9" s="38" t="str">
        <x:v>交流路线未定处标HYP</x:v>
      </x:c>
    </x:row>
    <x:row r="10">
      <x:c r="A10" s="37" t="str">
        <x:v>PAN-05</x:v>
      </x:c>
      <x:c r="B10" s="52" t="str">
        <x:v>文明长卷</x:v>
      </x:c>
      <x:c r="C10" s="52" t="str">
        <x:v>玉器与观念世界</x:v>
      </x:c>
      <x:c r="D10" s="52" t="str">
        <x:v>玉器为什么重要，又能证明什么？</x:v>
      </x:c>
      <x:c r="E10" s="52" t="str">
        <x:v>器类、工艺、出土语境、解释边界</x:v>
      </x:c>
      <x:c r="F10" s="52" t="str">
        <x:v>可筛选玉器图鉴+出土语境</x:v>
      </x:c>
      <x:c r="G10" s="52" t="str">
        <x:v>P0</x:v>
      </x:c>
      <x:c r="H10" s="52" t="str">
        <x:v>6—10分钟</x:v>
      </x:c>
      <x:c r="I10" s="38" t="str">
        <x:v>不离开出土语境讲神话</x:v>
      </x:c>
    </x:row>
    <x:row r="11">
      <x:c r="A11" s="37" t="str">
        <x:v>PAN-06</x:v>
      </x:c>
      <x:c r="B11" s="52" t="str">
        <x:v>文明长卷</x:v>
      </x:c>
      <x:c r="C11" s="52" t="str">
        <x:v>牛河梁礼仪建筑群</x:v>
      </x:c>
      <x:c r="D11" s="52" t="str">
        <x:v>坛、庙、冢与九台如何构成空间系统？</x:v>
      </x:c>
      <x:c r="E11" s="52" t="str">
        <x:v>九台、女神庙、圆坛、积石冢、墓葬</x:v>
      </x:c>
      <x:c r="F11" s="52" t="str">
        <x:v>空间总图+证据镜片</x:v>
      </x:c>
      <x:c r="G11" s="52" t="str">
        <x:v>P0</x:v>
      </x:c>
      <x:c r="H11" s="52" t="str">
        <x:v>8—12分钟</x:v>
      </x:c>
      <x:c r="I11" s="38" t="str">
        <x:v>复原层默认关闭</x:v>
      </x:c>
    </x:row>
    <x:row r="12">
      <x:c r="A12" s="37" t="str">
        <x:v>PAN-07</x:v>
      </x:c>
      <x:c r="B12" s="52" t="str">
        <x:v>文明长卷</x:v>
      </x:c>
      <x:c r="C12" s="52" t="str">
        <x:v>社会复杂化</x:v>
      </x:c>
      <x:c r="D12" s="52" t="str">
        <x:v>哪些证据支持社会分化与组织能力？</x:v>
      </x:c>
      <x:c r="E12" s="52" t="str">
        <x:v>工程、墓葬差异、专业化、区域中心</x:v>
      </x:c>
      <x:c r="F12" s="52" t="str">
        <x:v>多证据对照板</x:v>
      </x:c>
      <x:c r="G12" s="52" t="str">
        <x:v>P0</x:v>
      </x:c>
      <x:c r="H12" s="52" t="str">
        <x:v>5—8分钟</x:v>
      </x:c>
      <x:c r="I12" s="38" t="str">
        <x:v>不直接套王朝/国王</x:v>
      </x:c>
    </x:row>
    <x:row r="13">
      <x:c r="A13" s="37" t="str">
        <x:v>PAN-08</x:v>
      </x:c>
      <x:c r="B13" s="52" t="str">
        <x:v>文明长卷</x:v>
      </x:c>
      <x:c r="C13" s="52" t="str">
        <x:v>发现、发掘与认知更新</x:v>
      </x:c>
      <x:c r="D13" s="52" t="str">
        <x:v>从发现到2026，新证据如何改变叙述？</x:v>
      </x:c>
      <x:c r="E13" s="52" t="str">
        <x:v>发现史、发掘节点、科技考古、新调查</x:v>
      </x:c>
      <x:c r="F13" s="52" t="str">
        <x:v>考古时间线+旧/新认知滑杆</x:v>
      </x:c>
      <x:c r="G13" s="52" t="str">
        <x:v>P0</x:v>
      </x:c>
      <x:c r="H13" s="52" t="str">
        <x:v>6—10分钟</x:v>
      </x:c>
      <x:c r="I13" s="38" t="str">
        <x:v>媒体节点与发掘节点分开</x:v>
      </x:c>
    </x:row>
    <x:row r="14">
      <x:c r="A14" s="37" t="str">
        <x:v>PAN-09</x:v>
      </x:c>
      <x:c r="B14" s="52" t="str">
        <x:v>文明长卷</x:v>
      </x:c>
      <x:c r="C14" s="52" t="str">
        <x:v>保护、申遗与今天</x:v>
      </x:c>
      <x:c r="D14" s="52" t="str">
        <x:v>遗址如何被保护、展示、研究和传播？</x:v>
      </x:c>
      <x:c r="E14" s="52" t="str">
        <x:v>法定保护、预备名单、条例、数据库</x:v>
      </x:c>
      <x:c r="F14" s="52" t="str">
        <x:v>状态卡+更新日志</x:v>
      </x:c>
      <x:c r="G14" s="52" t="str">
        <x:v>P0</x:v>
      </x:c>
      <x:c r="H14" s="52" t="str">
        <x:v>3—5分钟</x:v>
      </x:c>
      <x:c r="I14" s="38" t="str">
        <x:v>不写申遗成功</x:v>
      </x:c>
    </x:row>
    <x:row r="15">
      <x:c r="A15" s="37" t="str">
        <x:v>LAB-01</x:v>
      </x:c>
      <x:c r="B15" s="52" t="str">
        <x:v>证据实验室</x:v>
      </x:c>
      <x:c r="C15" s="52" t="str">
        <x:v>5800不是一个点</x:v>
      </x:c>
      <x:c r="D15" s="52" t="str">
        <x:v>年代口径如何被建立？</x:v>
      </x:c>
      <x:c r="E15" s="52" t="str">
        <x:v>CLM-001</x:v>
      </x:c>
      <x:c r="F15" s="52" t="str">
        <x:v>双层时间轴</x:v>
      </x:c>
      <x:c r="G15" s="52" t="str">
        <x:v>P0</x:v>
      </x:c>
      <x:c r="H15" s="52" t="str">
        <x:v>1分钟</x:v>
      </x:c>
      <x:c r="I15" s="38" t="str">
        <x:v>完成判断</x:v>
      </x:c>
    </x:row>
    <x:row r="16">
      <x:c r="A16" s="37" t="str">
        <x:v>LAB-02</x:v>
      </x:c>
      <x:c r="B16" s="52" t="str">
        <x:v>证据实验室</x:v>
      </x:c>
      <x:c r="C16" s="52" t="str">
        <x:v>九台与大地工程</x:v>
      </x:c>
      <x:c r="D16" s="52" t="str">
        <x:v>实测结构能说明什么、不能说明什么？</x:v>
      </x:c>
      <x:c r="E16" s="52" t="str">
        <x:v>CLM-005—008</x:v>
      </x:c>
      <x:c r="F16" s="52" t="str">
        <x:v>关系图+滚动剖面</x:v>
      </x:c>
      <x:c r="G16" s="52" t="str">
        <x:v>P0</x:v>
      </x:c>
      <x:c r="H16" s="52" t="str">
        <x:v>2分钟</x:v>
      </x:c>
      <x:c r="I16" s="38" t="str">
        <x:v>收集2张证据卡</x:v>
      </x:c>
    </x:row>
    <x:row r="17">
      <x:c r="A17" s="37" t="str">
        <x:v>LAB-03</x:v>
      </x:c>
      <x:c r="B17" s="52" t="str">
        <x:v>证据实验室</x:v>
      </x:c>
      <x:c r="C17" s="52" t="str">
        <x:v>看见与不可见</x:v>
      </x:c>
      <x:c r="D17" s="52" t="str">
        <x:v>一个头像能否证明她是谁？</x:v>
      </x:c>
      <x:c r="E17" s="52" t="str">
        <x:v>CLM-009—011</x:v>
      </x:c>
      <x:c r="F17" s="52" t="str">
        <x:v>三层证据镜片</x:v>
      </x:c>
      <x:c r="G17" s="52" t="str">
        <x:v>P0</x:v>
      </x:c>
      <x:c r="H17" s="52" t="str">
        <x:v>1.5分钟</x:v>
      </x:c>
      <x:c r="I17" s="38" t="str">
        <x:v>选择安全名称</x:v>
      </x:c>
    </x:row>
    <x:row r="18">
      <x:c r="A18" s="37" t="str">
        <x:v>LAB-04</x:v>
      </x:c>
      <x:c r="B18" s="52" t="str">
        <x:v>证据实验室</x:v>
      </x:c>
      <x:c r="C18" s="52" t="str">
        <x:v>玉与墓序</x:v>
      </x:c>
      <x:c r="D18" s="52" t="str">
        <x:v>数量、规格、身份是否相同？</x:v>
      </x:c>
      <x:c r="E18" s="52" t="str">
        <x:v>CLM-013—017</x:v>
      </x:c>
      <x:c r="F18" s="52" t="str">
        <x:v>66墓矩阵+代表墓比较</x:v>
      </x:c>
      <x:c r="G18" s="52" t="str">
        <x:v>P0</x:v>
      </x:c>
      <x:c r="H18" s="52" t="str">
        <x:v>1.5分钟</x:v>
      </x:c>
      <x:c r="I18" s="38" t="str">
        <x:v>完成筛选</x:v>
      </x:c>
    </x:row>
    <x:row r="19">
      <x:c r="A19" s="37" t="str">
        <x:v>LAB-05</x:v>
      </x:c>
      <x:c r="B19" s="52" t="str">
        <x:v>证据实验室</x:v>
      </x:c>
      <x:c r="C19" s="52" t="str">
        <x:v>地图被重绘</x:v>
      </x:c>
      <x:c r="D19" s="52" t="str">
        <x:v>2026调查怎样修改纯礼仪区认识？</x:v>
      </x:c>
      <x:c r="E19" s="52" t="str">
        <x:v>CLM-018—029</x:v>
      </x:c>
      <x:c r="F19" s="52" t="str">
        <x:v>网格+擦拭+7.5m剖面</x:v>
      </x:c>
      <x:c r="G19" s="52" t="str">
        <x:v>P0</x:v>
      </x:c>
      <x:c r="H19" s="52" t="str">
        <x:v>2分钟</x:v>
      </x:c>
      <x:c r="I19" s="38" t="str">
        <x:v>保存初步判断</x:v>
      </x:c>
    </x:row>
    <x:row r="20">
      <x:c r="A20" s="39" t="str">
        <x:v>OUT-01</x:v>
      </x:c>
      <x:c r="B20" s="53" t="str">
        <x:v>成果</x:v>
      </x:c>
      <x:c r="C20" s="53" t="str">
        <x:v>文明坐标报告</x:v>
      </x:c>
      <x:c r="D20" s="53" t="str">
        <x:v>用户从哪些证据形成了哪些谨慎判断？</x:v>
      </x:c>
      <x:c r="E20" s="53" t="str">
        <x:v>已收集证据与开放问题</x:v>
      </x:c>
      <x:c r="F20" s="53" t="str">
        <x:v>报告生成+分享图</x:v>
      </x:c>
      <x:c r="G20" s="53" t="str">
        <x:v>P0</x:v>
      </x:c>
      <x:c r="H20" s="53" t="str">
        <x:v>1分钟</x:v>
      </x:c>
      <x:c r="I20" s="40" t="str">
        <x:v>无伪科学文明评分</x:v>
      </x:c>
    </x:row>
  </x:sheetData>
  <x:mergeCells>
    <x:mergeCell ref="A1:I1"/>
    <x:mergeCell ref="A2:I2"/>
  </x:mergeCells>
  <x:pageMargins left="0.7" right="0.7" top="0.75" bottom="0.75" header="0.3" footer="0.3"/>
  <x:tableParts count="1">
    <x:tablePart xmlns:r="http://schemas.openxmlformats.org/officeDocument/2006/relationships" r:id="R8972ae272ee640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18.889999389648438" hidden="0" customWidth="1"/>
    <x:col min="3" max="3" width="31.110000610351562" hidden="0" customWidth="1"/>
    <x:col min="4" max="4" width="14.4399995803833" hidden="0" customWidth="1"/>
    <x:col min="5" max="5" width="14.4399995803833" hidden="0" customWidth="1"/>
    <x:col min="6" max="6" width="8.890000343322754" hidden="0" customWidth="1"/>
    <x:col min="7" max="7" width="27.780000686645508" hidden="0" customWidth="1"/>
  </x:cols>
  <x:sheetData>
    <x:row r="1" ht="34" customHeight="1">
      <x:c r="A1" s="3" t="str">
        <x:v>页面与交互清单</x:v>
      </x:c>
    </x:row>
    <x:row r="2" ht="30" customHeight="1">
      <x:c r="A2" s="7" t="str">
        <x:v>先做H01首页、H04文化序列、L05证据镜片、L09认知更新、M02报告五个高保真关键屏。</x:v>
      </x:c>
    </x:row>
    <x:row r="3" ht="8" customHeight="1"/>
    <x:row r="4" ht="30" customHeight="1">
      <x:c r="A4" s="20" t="str">
        <x:v>screen_id</x:v>
      </x:c>
      <x:c r="B4" s="44" t="str">
        <x:v>screen_name</x:v>
      </x:c>
      <x:c r="C4" s="44" t="str">
        <x:v>purpose</x:v>
      </x:c>
      <x:c r="D4" s="44" t="str">
        <x:v>module</x:v>
      </x:c>
      <x:c r="E4" s="44" t="str">
        <x:v>gesture</x:v>
      </x:c>
      <x:c r="F4" s="44" t="str">
        <x:v>priority</x:v>
      </x:c>
      <x:c r="G4" s="21" t="str">
        <x:v>acceptance</x:v>
      </x:c>
    </x:row>
    <x:row r="5">
      <x:c r="A5" s="35" t="str">
        <x:v>H00</x:v>
      </x:c>
      <x:c r="B5" s="51" t="str">
        <x:v>启动/兼容检查</x:v>
      </x:c>
      <x:c r="C5" s="51" t="str">
        <x:v>检测网络、PWA、WebGL、AR；加载最小首屏</x:v>
      </x:c>
      <x:c r="D5" s="51" t="str">
        <x:v>全部</x:v>
      </x:c>
      <x:c r="E5" s="51" t="str">
        <x:v>进入</x:v>
      </x:c>
      <x:c r="F5" s="51" t="str">
        <x:v>P0</x:v>
      </x:c>
      <x:c r="G5" s="36" t="str">
        <x:v>文本模式可用</x:v>
      </x:c>
    </x:row>
    <x:row r="6">
      <x:c r="A6" s="37" t="str">
        <x:v>H01</x:v>
      </x:c>
      <x:c r="B6" s="52" t="str">
        <x:v>首页·文明入口</x:v>
      </x:c>
      <x:c r="C6" s="52" t="str">
        <x:v>文明长卷/证据实验室/自由图鉴三入口</x:v>
      </x:c>
      <x:c r="D6" s="52" t="str">
        <x:v>全部</x:v>
      </x:c>
      <x:c r="E6" s="52" t="str">
        <x:v>点击/滑动</x:v>
      </x:c>
      <x:c r="F6" s="52" t="str">
        <x:v>P0</x:v>
      </x:c>
      <x:c r="G6" s="38" t="str">
        <x:v>30秒内理解</x:v>
      </x:c>
    </x:row>
    <x:row r="7">
      <x:c r="A7" s="37" t="str">
        <x:v>H02</x:v>
      </x:c>
      <x:c r="B7" s="52" t="str">
        <x:v>文明全景</x:v>
      </x:c>
      <x:c r="C7" s="52" t="str">
        <x:v>时间、空间、主题总览与推荐路径</x:v>
      </x:c>
      <x:c r="D7" s="52" t="str">
        <x:v>文明长卷</x:v>
      </x:c>
      <x:c r="E7" s="52" t="str">
        <x:v>缩放/筛选</x:v>
      </x:c>
      <x:c r="F7" s="52" t="str">
        <x:v>P0</x:v>
      </x:c>
      <x:c r="G7" s="38" t="str">
        <x:v>可跳章</x:v>
      </x:c>
    </x:row>
    <x:row r="8">
      <x:c r="A8" s="37" t="str">
        <x:v>H03</x:v>
      </x:c>
      <x:c r="B8" s="52" t="str">
        <x:v>辽西环境</x:v>
      </x:c>
      <x:c r="C8" s="52" t="str">
        <x:v>地貌、水系、资源、环境层</x:v>
      </x:c>
      <x:c r="D8" s="52" t="str">
        <x:v>PAN-01</x:v>
      </x:c>
      <x:c r="E8" s="52" t="str">
        <x:v>图层/时间切换</x:v>
      </x:c>
      <x:c r="F8" s="52" t="str">
        <x:v>P0</x:v>
      </x:c>
      <x:c r="G8" s="38" t="str">
        <x:v>有文本替代</x:v>
      </x:c>
    </x:row>
    <x:row r="9">
      <x:c r="A9" s="37" t="str">
        <x:v>H04</x:v>
      </x:c>
      <x:c r="B9" s="52" t="str">
        <x:v>文化序列</x:v>
      </x:c>
      <x:c r="C9" s="52" t="str">
        <x:v>可缩放长时间轴与文化卡</x:v>
      </x:c>
      <x:c r="D9" s="52" t="str">
        <x:v>PAN-02</x:v>
      </x:c>
      <x:c r="E9" s="52" t="str">
        <x:v>拖动/展开</x:v>
      </x:c>
      <x:c r="F9" s="52" t="str">
        <x:v>P0</x:v>
      </x:c>
      <x:c r="G9" s="38" t="str">
        <x:v>口径逐条来源</x:v>
      </x:c>
    </x:row>
    <x:row r="10">
      <x:c r="A10" s="37" t="str">
        <x:v>H05</x:v>
      </x:c>
      <x:c r="B10" s="52" t="str">
        <x:v>生产生活</x:v>
      </x:c>
      <x:c r="C10" s="52" t="str">
        <x:v>聚落、房址、生业、陶器的场景化信息</x:v>
      </x:c>
      <x:c r="D10" s="52" t="str">
        <x:v>PAN-03</x:v>
      </x:c>
      <x:c r="E10" s="52" t="str">
        <x:v>热点/筛选</x:v>
      </x:c>
      <x:c r="F10" s="52" t="str">
        <x:v>P0</x:v>
      </x:c>
      <x:c r="G10" s="38" t="str">
        <x:v>不虚构人物史</x:v>
      </x:c>
    </x:row>
    <x:row r="11">
      <x:c r="A11" s="37" t="str">
        <x:v>H06</x:v>
      </x:c>
      <x:c r="B11" s="52" t="str">
        <x:v>工艺与交换</x:v>
      </x:c>
      <x:c r="C11" s="52" t="str">
        <x:v>制陶、玉作、材料与检测</x:v>
      </x:c>
      <x:c r="D11" s="52" t="str">
        <x:v>PAN-04</x:v>
      </x:c>
      <x:c r="E11" s="52" t="str">
        <x:v>步骤/网络筛选</x:v>
      </x:c>
      <x:c r="F11" s="52" t="str">
        <x:v>P0</x:v>
      </x:c>
      <x:c r="G11" s="38" t="str">
        <x:v>推测路线分层</x:v>
      </x:c>
    </x:row>
    <x:row r="12">
      <x:c r="A12" s="37" t="str">
        <x:v>H07</x:v>
      </x:c>
      <x:c r="B12" s="52" t="str">
        <x:v>玉器图鉴</x:v>
      </x:c>
      <x:c r="C12" s="52" t="str">
        <x:v>按器类、地点、材料、语境筛选</x:v>
      </x:c>
      <x:c r="D12" s="52" t="str">
        <x:v>PAN-05</x:v>
      </x:c>
      <x:c r="E12" s="52" t="str">
        <x:v>筛选/对比</x:v>
      </x:c>
      <x:c r="F12" s="52" t="str">
        <x:v>P0</x:v>
      </x:c>
      <x:c r="G12" s="38" t="str">
        <x:v>照片需授权</x:v>
      </x:c>
    </x:row>
    <x:row r="13">
      <x:c r="A13" s="37" t="str">
        <x:v>H08</x:v>
      </x:c>
      <x:c r="B13" s="52" t="str">
        <x:v>礼仪建筑总图</x:v>
      </x:c>
      <x:c r="C13" s="52" t="str">
        <x:v>九台、庙、坛、冢空间关系</x:v>
      </x:c>
      <x:c r="D13" s="52" t="str">
        <x:v>PAN-06</x:v>
      </x:c>
      <x:c r="E13" s="52" t="str">
        <x:v>缩放/图层</x:v>
      </x:c>
      <x:c r="F13" s="52" t="str">
        <x:v>P0</x:v>
      </x:c>
      <x:c r="G13" s="38" t="str">
        <x:v>复原默认关闭</x:v>
      </x:c>
    </x:row>
    <x:row r="14">
      <x:c r="A14" s="37" t="str">
        <x:v>H09</x:v>
      </x:c>
      <x:c r="B14" s="52" t="str">
        <x:v>社会复杂化</x:v>
      </x:c>
      <x:c r="C14" s="52" t="str">
        <x:v>工程、墓葬、专业化证据对照</x:v>
      </x:c>
      <x:c r="D14" s="52" t="str">
        <x:v>PAN-07</x:v>
      </x:c>
      <x:c r="E14" s="52" t="str">
        <x:v>证据对照</x:v>
      </x:c>
      <x:c r="F14" s="52" t="str">
        <x:v>P0</x:v>
      </x:c>
      <x:c r="G14" s="38" t="str">
        <x:v>不生成国家等级分</x:v>
      </x:c>
    </x:row>
    <x:row r="15">
      <x:c r="A15" s="37" t="str">
        <x:v>H10</x:v>
      </x:c>
      <x:c r="B15" s="52" t="str">
        <x:v>考古发现史</x:v>
      </x:c>
      <x:c r="C15" s="52" t="str">
        <x:v>发现、发掘、科技考古、2026更新</x:v>
      </x:c>
      <x:c r="D15" s="52" t="str">
        <x:v>PAN-08</x:v>
      </x:c>
      <x:c r="E15" s="52" t="str">
        <x:v>时间线</x:v>
      </x:c>
      <x:c r="F15" s="52" t="str">
        <x:v>P0</x:v>
      </x:c>
      <x:c r="G15" s="38" t="str">
        <x:v>节点可追源</x:v>
      </x:c>
    </x:row>
    <x:row r="16">
      <x:c r="A16" s="37" t="str">
        <x:v>H11</x:v>
      </x:c>
      <x:c r="B16" s="52" t="str">
        <x:v>保护与今天</x:v>
      </x:c>
      <x:c r="C16" s="52" t="str">
        <x:v>法规、申遗状态、数据库、公共参与</x:v>
      </x:c>
      <x:c r="D16" s="52" t="str">
        <x:v>PAN-09</x:v>
      </x:c>
      <x:c r="E16" s="52" t="str">
        <x:v>状态卡</x:v>
      </x:c>
      <x:c r="F16" s="52" t="str">
        <x:v>P0</x:v>
      </x:c>
      <x:c r="G16" s="38" t="str">
        <x:v>Ref.5804准确</x:v>
      </x:c>
    </x:row>
    <x:row r="17">
      <x:c r="A17" s="37" t="str">
        <x:v>L01</x:v>
      </x:c>
      <x:c r="B17" s="52" t="str">
        <x:v>证据地图</x:v>
      </x:c>
      <x:c r="C17" s="52" t="str">
        <x:v>五章任务、进度与空间关系</x:v>
      </x:c>
      <x:c r="D17" s="52" t="str">
        <x:v>证据实验室</x:v>
      </x:c>
      <x:c r="E17" s="52" t="str">
        <x:v>缩放/跳章</x:v>
      </x:c>
      <x:c r="F17" s="52" t="str">
        <x:v>P0</x:v>
      </x:c>
      <x:c r="G17" s="38" t="str">
        <x:v>可自由顺序</x:v>
      </x:c>
    </x:row>
    <x:row r="18">
      <x:c r="A18" s="37" t="str">
        <x:v>L02</x:v>
      </x:c>
      <x:c r="B18" s="52" t="str">
        <x:v>时间坐标</x:v>
      </x:c>
      <x:c r="C18" s="52" t="str">
        <x:v>双层时间轴</x:v>
      </x:c>
      <x:c r="D18" s="52" t="str">
        <x:v>LAB-01</x:v>
      </x:c>
      <x:c r="E18" s="52" t="str">
        <x:v>拖动</x:v>
      </x:c>
      <x:c r="F18" s="52" t="str">
        <x:v>P0</x:v>
      </x:c>
      <x:c r="G18" s="38" t="str">
        <x:v>反馈≤100ms</x:v>
      </x:c>
    </x:row>
    <x:row r="19">
      <x:c r="A19" s="37" t="str">
        <x:v>L03</x:v>
      </x:c>
      <x:c r="B19" s="52" t="str">
        <x:v>九台总图</x:v>
      </x:c>
      <x:c r="C19" s="52" t="str">
        <x:v>营建阶段与台基关系</x:v>
      </x:c>
      <x:c r="D19" s="52" t="str">
        <x:v>LAB-02</x:v>
      </x:c>
      <x:c r="E19" s="52" t="str">
        <x:v>点击/切换</x:v>
      </x:c>
      <x:c r="F19" s="52" t="str">
        <x:v>P0</x:v>
      </x:c>
      <x:c r="G19" s="38" t="str">
        <x:v>未知功能不编造</x:v>
      </x:c>
    </x:row>
    <x:row r="20">
      <x:c r="A20" s="37" t="str">
        <x:v>L04</x:v>
      </x:c>
      <x:c r="B20" s="52" t="str">
        <x:v>2号台基剖面</x:v>
      </x:c>
      <x:c r="C20" s="52" t="str">
        <x:v>尺度、填筑、排水</x:v>
      </x:c>
      <x:c r="D20" s="52" t="str">
        <x:v>LAB-02</x:v>
      </x:c>
      <x:c r="E20" s="52" t="str">
        <x:v>滚动/热点</x:v>
      </x:c>
      <x:c r="F20" s="52" t="str">
        <x:v>P0</x:v>
      </x:c>
      <x:c r="G20" s="38" t="str">
        <x:v>带示意声明</x:v>
      </x:c>
    </x:row>
    <x:row r="21">
      <x:c r="A21" s="37" t="str">
        <x:v>L05</x:v>
      </x:c>
      <x:c r="B21" s="52" t="str">
        <x:v>女神庙证据镜片</x:v>
      </x:c>
      <x:c r="C21" s="52" t="str">
        <x:v>实证/解释/示意层</x:v>
      </x:c>
      <x:c r="D21" s="52" t="str">
        <x:v>LAB-03</x:v>
      </x:c>
      <x:c r="E21" s="52" t="str">
        <x:v>三层切换</x:v>
      </x:c>
      <x:c r="F21" s="52" t="str">
        <x:v>P0</x:v>
      </x:c>
      <x:c r="G21" s="38" t="str">
        <x:v>默认实证层</x:v>
      </x:c>
    </x:row>
    <x:row r="22">
      <x:c r="A22" s="37" t="str">
        <x:v>L06</x:v>
      </x:c>
      <x:c r="B22" s="52" t="str">
        <x:v>泥塑头像档案</x:v>
      </x:c>
      <x:c r="C22" s="52" t="str">
        <x:v>材料、工艺、命名边界</x:v>
      </x:c>
      <x:c r="D22" s="52" t="str">
        <x:v>LAB-03</x:v>
      </x:c>
      <x:c r="E22" s="52" t="str">
        <x:v>分层/选择</x:v>
      </x:c>
      <x:c r="F22" s="52" t="str">
        <x:v>P0</x:v>
      </x:c>
      <x:c r="G22" s="38" t="str">
        <x:v>安全名称</x:v>
      </x:c>
    </x:row>
    <x:row r="23">
      <x:c r="A23" s="37" t="str">
        <x:v>L07</x:v>
      </x:c>
      <x:c r="B23" s="52" t="str">
        <x:v>三环互动尺</x:v>
      </x:c>
      <x:c r="C23" s="52" t="str">
        <x:v>11/15.6/22m比例</x:v>
      </x:c>
      <x:c r="D23" s="52" t="str">
        <x:v>LAB-03</x:v>
      </x:c>
      <x:c r="E23" s="52" t="str">
        <x:v>缩放/比较</x:v>
      </x:c>
      <x:c r="F23" s="52" t="str">
        <x:v>P0</x:v>
      </x:c>
      <x:c r="G23" s="38" t="str">
        <x:v>假说分开</x:v>
      </x:c>
    </x:row>
    <x:row r="24">
      <x:c r="A24" s="37" t="str">
        <x:v>L08</x:v>
      </x:c>
      <x:c r="B24" s="52" t="str">
        <x:v>66墓矩阵</x:v>
      </x:c>
      <x:c r="C24" s="52" t="str">
        <x:v>有玉/无玉、地点、代表墓</x:v>
      </x:c>
      <x:c r="D24" s="52" t="str">
        <x:v>LAB-04</x:v>
      </x:c>
      <x:c r="E24" s="52" t="str">
        <x:v>筛选/对比</x:v>
      </x:c>
      <x:c r="F24" s="52" t="str">
        <x:v>P0</x:v>
      </x:c>
      <x:c r="G24" s="38" t="str">
        <x:v>衍生值注明</x:v>
      </x:c>
    </x:row>
    <x:row r="25">
      <x:c r="A25" s="37" t="str">
        <x:v>L09</x:v>
      </x:c>
      <x:c r="B25" s="52" t="str">
        <x:v>认知更新滑杆</x:v>
      </x:c>
      <x:c r="C25" s="52" t="str">
        <x:v>2013—2026并置</x:v>
      </x:c>
      <x:c r="D25" s="52" t="str">
        <x:v>LAB-05</x:v>
      </x:c>
      <x:c r="E25" s="52" t="str">
        <x:v>擦拭</x:v>
      </x:c>
      <x:c r="F25" s="52" t="str">
        <x:v>P0</x:v>
      </x:c>
      <x:c r="G25" s="38" t="str">
        <x:v>两侧日期可见</x:v>
      </x:c>
    </x:row>
    <x:row r="26">
      <x:c r="A26" s="37" t="str">
        <x:v>L10</x:v>
      </x:c>
      <x:c r="B26" s="52" t="str">
        <x:v>调查网格</x:v>
      </x:c>
      <x:c r="C26" s="52" t="str">
        <x:v>50m网格聚合与陶片计数</x:v>
      </x:c>
      <x:c r="D26" s="52" t="str">
        <x:v>LAB-05</x:v>
      </x:c>
      <x:c r="E26" s="52" t="str">
        <x:v>缩放/筛选</x:v>
      </x:c>
      <x:c r="F26" s="52" t="str">
        <x:v>P0</x:v>
      </x:c>
      <x:c r="G26" s="38" t="str">
        <x:v>无敏感坐标</x:v>
      </x:c>
    </x:row>
    <x:row r="27">
      <x:c r="A27" s="37" t="str">
        <x:v>L11</x:v>
      </x:c>
      <x:c r="B27" s="52" t="str">
        <x:v>第十三地点</x:v>
      </x:c>
      <x:c r="C27" s="52" t="str">
        <x:v>7.5m剖面与初步判断</x:v>
      </x:c>
      <x:c r="D27" s="52" t="str">
        <x:v>LAB-05</x:v>
      </x:c>
      <x:c r="E27" s="52" t="str">
        <x:v>滚动/确认</x:v>
      </x:c>
      <x:c r="F27" s="52" t="str">
        <x:v>P0</x:v>
      </x:c>
      <x:c r="G27" s="38" t="str">
        <x:v>禁用金字塔</x:v>
      </x:c>
    </x:row>
    <x:row r="28">
      <x:c r="A28" s="37" t="str">
        <x:v>M01</x:v>
      </x:c>
      <x:c r="B28" s="52" t="str">
        <x:v>证据柜</x:v>
      </x:c>
      <x:c r="C28" s="52" t="str">
        <x:v>收藏、筛选、比较、撤回</x:v>
      </x:c>
      <x:c r="D28" s="52" t="str">
        <x:v>成果</x:v>
      </x:c>
      <x:c r="E28" s="52" t="str">
        <x:v>多选/排序</x:v>
      </x:c>
      <x:c r="F28" s="52" t="str">
        <x:v>P0</x:v>
      </x:c>
      <x:c r="G28" s="38" t="str">
        <x:v>本地保存</x:v>
      </x:c>
    </x:row>
    <x:row r="29">
      <x:c r="A29" s="37" t="str">
        <x:v>M02</x:v>
      </x:c>
      <x:c r="B29" s="52" t="str">
        <x:v>文明坐标报告</x:v>
      </x:c>
      <x:c r="C29" s="52" t="str">
        <x:v>覆盖度、开放问题、来源、分享图</x:v>
      </x:c>
      <x:c r="D29" s="52" t="str">
        <x:v>成果</x:v>
      </x:c>
      <x:c r="E29" s="52" t="str">
        <x:v>生成/分享</x:v>
      </x:c>
      <x:c r="F29" s="52" t="str">
        <x:v>P0</x:v>
      </x:c>
      <x:c r="G29" s="38" t="str">
        <x:v>无文明评分</x:v>
      </x:c>
    </x:row>
    <x:row r="30">
      <x:c r="A30" s="37" t="str">
        <x:v>M03</x:v>
      </x:c>
      <x:c r="B30" s="52" t="str">
        <x:v>来源与方法</x:v>
      </x:c>
      <x:c r="C30" s="52" t="str">
        <x:v>来源检索、冲突口径、更新日志</x:v>
      </x:c>
      <x:c r="D30" s="52" t="str">
        <x:v>全部</x:v>
      </x:c>
      <x:c r="E30" s="52" t="str">
        <x:v>搜索/筛选</x:v>
      </x:c>
      <x:c r="F30" s="52" t="str">
        <x:v>P0</x:v>
      </x:c>
      <x:c r="G30" s="38" t="str">
        <x:v>最多两次点击</x:v>
      </x:c>
    </x:row>
    <x:row r="31">
      <x:c r="A31" s="37" t="str">
        <x:v>X01</x:v>
      </x:c>
      <x:c r="B31" s="52" t="str">
        <x:v>3D/AR实验台</x:v>
      </x:c>
      <x:c r="C31" s="52" t="str">
        <x:v>网页3D与可降级AR</x:v>
      </x:c>
      <x:c r="D31" s="52" t="str">
        <x:v>增强</x:v>
      </x:c>
      <x:c r="E31" s="52" t="str">
        <x:v>旋转/热点/AR</x:v>
      </x:c>
      <x:c r="F31" s="52" t="str">
        <x:v>P1</x:v>
      </x:c>
      <x:c r="G31" s="38" t="str">
        <x:v>失败退回3D</x:v>
      </x:c>
    </x:row>
    <x:row r="32">
      <x:c r="A32" s="37" t="str">
        <x:v>X02</x:v>
      </x:c>
      <x:c r="B32" s="52" t="str">
        <x:v>教师模式</x:v>
      </x:c>
      <x:c r="C32" s="52" t="str">
        <x:v>讨论问题卡、投屏与章节短链</x:v>
      </x:c>
      <x:c r="D32" s="52" t="str">
        <x:v>应用</x:v>
      </x:c>
      <x:c r="E32" s="52" t="str">
        <x:v>选择/导出</x:v>
      </x:c>
      <x:c r="F32" s="52" t="str">
        <x:v>P1</x:v>
      </x:c>
      <x:c r="G32" s="38" t="str">
        <x:v>学生无须注册</x:v>
      </x:c>
    </x:row>
    <x:row r="33">
      <x:c r="A33" s="39" t="str">
        <x:v>A01</x:v>
      </x:c>
      <x:c r="B33" s="53" t="str">
        <x:v>内容管理</x:v>
      </x:c>
      <x:c r="C33" s="53" t="str">
        <x:v>claims/sources/assets/revisions</x:v>
      </x:c>
      <x:c r="D33" s="53" t="str">
        <x:v>后台</x:v>
      </x:c>
      <x:c r="E33" s="53" t="str">
        <x:v>增删改审</x:v>
      </x:c>
      <x:c r="F33" s="53" t="str">
        <x:v>P1</x:v>
      </x:c>
      <x:c r="G33" s="40" t="str">
        <x:v>管理员鉴权</x:v>
      </x:c>
    </x:row>
  </x:sheetData>
  <x:mergeCells>
    <x:mergeCell ref="A1:G1"/>
    <x:mergeCell ref="A2:G2"/>
  </x:mergeCells>
  <x:pageMargins left="0.7" right="0.7" top="0.75" bottom="0.75" header="0.3" footer="0.3"/>
  <x:tableParts count="1">
    <x:tablePart xmlns:r="http://schemas.openxmlformats.org/officeDocument/2006/relationships" r:id="Rdd6a18743a794f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18.889999389648438" hidden="0" customWidth="1"/>
    <x:col min="3" max="3" width="35.560001373291016" hidden="0" customWidth="1"/>
    <x:col min="4" max="4" width="8.890000343322754" hidden="0" customWidth="1"/>
    <x:col min="5" max="5" width="13.329999923706055" hidden="0" customWidth="1"/>
    <x:col min="6" max="6" width="11.109999656677246" hidden="0" customWidth="1"/>
    <x:col min="7" max="7" width="30" hidden="0" customWidth="1"/>
  </x:cols>
  <x:sheetData>
    <x:row r="1" ht="34" customHeight="1">
      <x:c r="A1" s="3" t="str">
        <x:v>功能需求与状态</x:v>
      </x:c>
    </x:row>
    <x:row r="2" ht="30" customHeight="1">
      <x:c r="A2" s="7" t="str">
        <x:v>P0构成可提交闭环；P1仅在P0稳定后加入。状态列可直接用于开发看板。</x:v>
      </x:c>
    </x:row>
    <x:row r="3" ht="8" customHeight="1"/>
    <x:row r="4" ht="30" customHeight="1">
      <x:c r="A4" s="20" t="str">
        <x:v>feature_id</x:v>
      </x:c>
      <x:c r="B4" s="44" t="str">
        <x:v>feature</x:v>
      </x:c>
      <x:c r="C4" s="44" t="str">
        <x:v>requirement</x:v>
      </x:c>
      <x:c r="D4" s="44" t="str">
        <x:v>priority</x:v>
      </x:c>
      <x:c r="E4" s="44" t="str">
        <x:v>owner_area</x:v>
      </x:c>
      <x:c r="F4" s="44" t="str">
        <x:v>status</x:v>
      </x:c>
      <x:c r="G4" s="21" t="str">
        <x:v>acceptance</x:v>
      </x:c>
    </x:row>
    <x:row r="5">
      <x:c r="A5" s="35" t="str">
        <x:v>FR-001</x:v>
      </x:c>
      <x:c r="B5" s="51" t="str">
        <x:v>移动优先响应式</x:v>
      </x:c>
      <x:c r="C5" s="51" t="str">
        <x:v>375×667至1440；横竖屏不丢功能</x:v>
      </x:c>
      <x:c r="D5" s="51" t="str">
        <x:v>P0</x:v>
      </x:c>
      <x:c r="E5" s="51" t="str">
        <x:v>前端</x:v>
      </x:c>
      <x:c r="F5" s="51" t="str">
        <x:v>待开发</x:v>
      </x:c>
      <x:c r="G5" s="36" t="str">
        <x:v>手机/平板/电脑同一闭环</x:v>
      </x:c>
    </x:row>
    <x:row r="6">
      <x:c r="A6" s="37" t="str">
        <x:v>FR-002</x:v>
      </x:c>
      <x:c r="B6" s="52" t="str">
        <x:v>无登录完整体验</x:v>
      </x:c>
      <x:c r="C6" s="52" t="str">
        <x:v>匿名会话；不先弹注册</x:v>
      </x:c>
      <x:c r="D6" s="52" t="str">
        <x:v>P0</x:v>
      </x:c>
      <x:c r="E6" s="52" t="str">
        <x:v>全栈</x:v>
      </x:c>
      <x:c r="F6" s="52" t="str">
        <x:v>待开发</x:v>
      </x:c>
      <x:c r="G6" s="38" t="str">
        <x:v>关闭存储仍可浏览</x:v>
      </x:c>
    </x:row>
    <x:row r="7">
      <x:c r="A7" s="37" t="str">
        <x:v>FR-003</x:v>
      </x:c>
      <x:c r="B7" s="52" t="str">
        <x:v>双层产品结构</x:v>
      </x:c>
      <x:c r="C7" s="52" t="str">
        <x:v>文明长卷+证据实验室+自由图鉴</x:v>
      </x:c>
      <x:c r="D7" s="52" t="str">
        <x:v>P0</x:v>
      </x:c>
      <x:c r="E7" s="52" t="str">
        <x:v>产品/前端</x:v>
      </x:c>
      <x:c r="F7" s="52" t="str">
        <x:v>待开发</x:v>
      </x:c>
      <x:c r="G7" s="38" t="str">
        <x:v>三入口互通</x:v>
      </x:c>
    </x:row>
    <x:row r="8">
      <x:c r="A8" s="37" t="str">
        <x:v>FR-004</x:v>
      </x:c>
      <x:c r="B8" s="52" t="str">
        <x:v>章节路由</x:v>
      </x:c>
      <x:c r="C8" s="52" t="str">
        <x:v>直达、返回、刷新与恢复位置</x:v>
      </x:c>
      <x:c r="D8" s="52" t="str">
        <x:v>P0</x:v>
      </x:c>
      <x:c r="E8" s="52" t="str">
        <x:v>前端</x:v>
      </x:c>
      <x:c r="F8" s="52" t="str">
        <x:v>待开发</x:v>
      </x:c>
      <x:c r="G8" s="38" t="str">
        <x:v>深链可用</x:v>
      </x:c>
    </x:row>
    <x:row r="9">
      <x:c r="A9" s="37" t="str">
        <x:v>FR-005</x:v>
      </x:c>
      <x:c r="B9" s="52" t="str">
        <x:v>文明长卷</x:v>
      </x:c>
      <x:c r="C9" s="52" t="str">
        <x:v>9个系统知识模块与推荐路径</x:v>
      </x:c>
      <x:c r="D9" s="52" t="str">
        <x:v>P0</x:v>
      </x:c>
      <x:c r="E9" s="52" t="str">
        <x:v>内容/前端</x:v>
      </x:c>
      <x:c r="F9" s="52" t="str">
        <x:v>待开发</x:v>
      </x:c>
      <x:c r="G9" s="38" t="str">
        <x:v>10分钟导览可完成</x:v>
      </x:c>
    </x:row>
    <x:row r="10">
      <x:c r="A10" s="37" t="str">
        <x:v>FR-006</x:v>
      </x:c>
      <x:c r="B10" s="52" t="str">
        <x:v>证据卡</x:v>
      </x:c>
      <x:c r="C10" s="52" t="str">
        <x:v>OBS/SYN/INF/HYP、收藏、比较、来源</x:v>
      </x:c>
      <x:c r="D10" s="52" t="str">
        <x:v>P0</x:v>
      </x:c>
      <x:c r="E10" s="52" t="str">
        <x:v>全栈</x:v>
      </x:c>
      <x:c r="F10" s="52" t="str">
        <x:v>待开发</x:v>
      </x:c>
      <x:c r="G10" s="38" t="str">
        <x:v>每卡至少一源</x:v>
      </x:c>
    </x:row>
    <x:row r="11">
      <x:c r="A11" s="37" t="str">
        <x:v>FR-007</x:v>
      </x:c>
      <x:c r="B11" s="52" t="str">
        <x:v>证据镜片</x:v>
      </x:c>
      <x:c r="C11" s="52" t="str">
        <x:v>实证/解释/设计示意分离</x:v>
      </x:c>
      <x:c r="D11" s="52" t="str">
        <x:v>P0</x:v>
      </x:c>
      <x:c r="E11" s="52" t="str">
        <x:v>前端</x:v>
      </x:c>
      <x:c r="F11" s="52" t="str">
        <x:v>待开发</x:v>
      </x:c>
      <x:c r="G11" s="38" t="str">
        <x:v>默认实证</x:v>
      </x:c>
    </x:row>
    <x:row r="12">
      <x:c r="A12" s="37" t="str">
        <x:v>FR-008</x:v>
      </x:c>
      <x:c r="B12" s="52" t="str">
        <x:v>文化序列长卷</x:v>
      </x:c>
      <x:c r="C12" s="52" t="str">
        <x:v>年代、区域、典型遗存、来源</x:v>
      </x:c>
      <x:c r="D12" s="52" t="str">
        <x:v>P0</x:v>
      </x:c>
      <x:c r="E12" s="52" t="str">
        <x:v>前端/内容</x:v>
      </x:c>
      <x:c r="F12" s="52" t="str">
        <x:v>待开发</x:v>
      </x:c>
      <x:c r="G12" s="38" t="str">
        <x:v>口径不混算</x:v>
      </x:c>
    </x:row>
    <x:row r="13">
      <x:c r="A13" s="37" t="str">
        <x:v>FR-009</x:v>
      </x:c>
      <x:c r="B13" s="52" t="str">
        <x:v>主题图鉴</x:v>
      </x:c>
      <x:c r="C13" s="52" t="str">
        <x:v>玉器、陶器、建筑、遗址可筛选</x:v>
      </x:c>
      <x:c r="D13" s="52" t="str">
        <x:v>P0</x:v>
      </x:c>
      <x:c r="E13" s="52" t="str">
        <x:v>全栈</x:v>
      </x:c>
      <x:c r="F13" s="52" t="str">
        <x:v>待开发</x:v>
      </x:c>
      <x:c r="G13" s="38" t="str">
        <x:v>筛选与URL同步</x:v>
      </x:c>
    </x:row>
    <x:row r="14">
      <x:c r="A14" s="37" t="str">
        <x:v>FR-010</x:v>
      </x:c>
      <x:c r="B14" s="52" t="str">
        <x:v>时间轴</x:v>
      </x:c>
      <x:c r="C14" s="52" t="str">
        <x:v>多口径并行与来源联动</x:v>
      </x:c>
      <x:c r="D14" s="52" t="str">
        <x:v>P0</x:v>
      </x:c>
      <x:c r="E14" s="52" t="str">
        <x:v>前端</x:v>
      </x:c>
      <x:c r="F14" s="52" t="str">
        <x:v>待开发</x:v>
      </x:c>
      <x:c r="G14" s="38" t="str">
        <x:v>5800不作单年</x:v>
      </x:c>
    </x:row>
    <x:row r="15">
      <x:c r="A15" s="37" t="str">
        <x:v>FR-011</x:v>
      </x:c>
      <x:c r="B15" s="52" t="str">
        <x:v>空间图层</x:v>
      </x:c>
      <x:c r="C15" s="52" t="str">
        <x:v>九台、章节、调查聚合；无敏感点</x:v>
      </x:c>
      <x:c r="D15" s="52" t="str">
        <x:v>P0</x:v>
      </x:c>
      <x:c r="E15" s="52" t="str">
        <x:v>前端/内容</x:v>
      </x:c>
      <x:c r="F15" s="52" t="str">
        <x:v>待开发</x:v>
      </x:c>
      <x:c r="G15" s="38" t="str">
        <x:v>精度声明</x:v>
      </x:c>
    </x:row>
    <x:row r="16">
      <x:c r="A16" s="37" t="str">
        <x:v>FR-012</x:v>
      </x:c>
      <x:c r="B16" s="52" t="str">
        <x:v>墓葬矩阵</x:v>
      </x:c>
      <x:c r="C16" s="52" t="str">
        <x:v>66/37/29/145筛选与解释</x:v>
      </x:c>
      <x:c r="D16" s="52" t="str">
        <x:v>P0</x:v>
      </x:c>
      <x:c r="E16" s="52" t="str">
        <x:v>前端</x:v>
      </x:c>
      <x:c r="F16" s="52" t="str">
        <x:v>待开发</x:v>
      </x:c>
      <x:c r="G16" s="38" t="str">
        <x:v>总数一致</x:v>
      </x:c>
    </x:row>
    <x:row r="17">
      <x:c r="A17" s="37" t="str">
        <x:v>FR-013</x:v>
      </x:c>
      <x:c r="B17" s="52" t="str">
        <x:v>认知更新</x:v>
      </x:c>
      <x:c r="C17" s="52" t="str">
        <x:v>旧资料与新调查滑杆</x:v>
      </x:c>
      <x:c r="D17" s="52" t="str">
        <x:v>P0</x:v>
      </x:c>
      <x:c r="E17" s="52" t="str">
        <x:v>前端</x:v>
      </x:c>
      <x:c r="F17" s="52" t="str">
        <x:v>待开发</x:v>
      </x:c>
      <x:c r="G17" s="38" t="str">
        <x:v>两侧时间范围</x:v>
      </x:c>
    </x:row>
    <x:row r="18">
      <x:c r="A18" s="37" t="str">
        <x:v>FR-014</x:v>
      </x:c>
      <x:c r="B18" s="52" t="str">
        <x:v>报告生成</x:v>
      </x:c>
      <x:c r="C18" s="52" t="str">
        <x:v>证据覆盖度、开放问题、来源</x:v>
      </x:c>
      <x:c r="D18" s="52" t="str">
        <x:v>P0</x:v>
      </x:c>
      <x:c r="E18" s="52" t="str">
        <x:v>前端</x:v>
      </x:c>
      <x:c r="F18" s="52" t="str">
        <x:v>待开发</x:v>
      </x:c>
      <x:c r="G18" s="38" t="str">
        <x:v>无伪科学评分</x:v>
      </x:c>
    </x:row>
    <x:row r="19">
      <x:c r="A19" s="37" t="str">
        <x:v>FR-015</x:v>
      </x:c>
      <x:c r="B19" s="52" t="str">
        <x:v>PWA安装</x:v>
      </x:c>
      <x:c r="C19" s="52" t="str">
        <x:v>Manifest、图标、启动画面</x:v>
      </x:c>
      <x:c r="D19" s="52" t="str">
        <x:v>P0</x:v>
      </x:c>
      <x:c r="E19" s="52" t="str">
        <x:v>前端/部署</x:v>
      </x:c>
      <x:c r="F19" s="52" t="str">
        <x:v>待开发</x:v>
      </x:c>
      <x:c r="G19" s="38" t="str">
        <x:v>不支持仍可网页</x:v>
      </x:c>
    </x:row>
    <x:row r="20">
      <x:c r="A20" s="37" t="str">
        <x:v>FR-016</x:v>
      </x:c>
      <x:c r="B20" s="52" t="str">
        <x:v>离线</x:v>
      </x:c>
      <x:c r="C20" s="52" t="str">
        <x:v>缓存壳、文本、SVG与关键媒体</x:v>
      </x:c>
      <x:c r="D20" s="52" t="str">
        <x:v>P0</x:v>
      </x:c>
      <x:c r="E20" s="52" t="str">
        <x:v>前端/部署</x:v>
      </x:c>
      <x:c r="F20" s="52" t="str">
        <x:v>待开发</x:v>
      </x:c>
      <x:c r="G20" s="38" t="str">
        <x:v>首访后飞行模式</x:v>
      </x:c>
    </x:row>
    <x:row r="21">
      <x:c r="A21" s="37" t="str">
        <x:v>FR-017</x:v>
      </x:c>
      <x:c r="B21" s="52" t="str">
        <x:v>本地进度</x:v>
      </x:c>
      <x:c r="C21" s="52" t="str">
        <x:v>IndexedDB/localStorage</x:v>
      </x:c>
      <x:c r="D21" s="52" t="str">
        <x:v>P0</x:v>
      </x:c>
      <x:c r="E21" s="52" t="str">
        <x:v>前端</x:v>
      </x:c>
      <x:c r="F21" s="52" t="str">
        <x:v>待开发</x:v>
      </x:c>
      <x:c r="G21" s="38" t="str">
        <x:v>可清除</x:v>
      </x:c>
    </x:row>
    <x:row r="22">
      <x:c r="A22" s="37" t="str">
        <x:v>FR-018</x:v>
      </x:c>
      <x:c r="B22" s="52" t="str">
        <x:v>分享</x:v>
      </x:c>
      <x:c r="C22" s="52" t="str">
        <x:v>1080×1920报告图、短链、二维码</x:v>
      </x:c>
      <x:c r="D22" s="52" t="str">
        <x:v>P0</x:v>
      </x:c>
      <x:c r="E22" s="52" t="str">
        <x:v>前端/后端</x:v>
      </x:c>
      <x:c r="F22" s="52" t="str">
        <x:v>待开发</x:v>
      </x:c>
      <x:c r="G22" s="38" t="str">
        <x:v>中文清晰</x:v>
      </x:c>
    </x:row>
    <x:row r="23">
      <x:c r="A23" s="37" t="str">
        <x:v>FR-019</x:v>
      </x:c>
      <x:c r="B23" s="52" t="str">
        <x:v>来源抽屉</x:v>
      </x:c>
      <x:c r="C23" s="52" t="str">
        <x:v>数字/解释查看来源、日期、范围</x:v>
      </x:c>
      <x:c r="D23" s="52" t="str">
        <x:v>P0</x:v>
      </x:c>
      <x:c r="E23" s="52" t="str">
        <x:v>全栈</x:v>
      </x:c>
      <x:c r="F23" s="52" t="str">
        <x:v>待开发</x:v>
      </x:c>
      <x:c r="G23" s="38" t="str">
        <x:v>≤2次点击</x:v>
      </x:c>
    </x:row>
    <x:row r="24">
      <x:c r="A24" s="37" t="str">
        <x:v>FR-020</x:v>
      </x:c>
      <x:c r="B24" s="52" t="str">
        <x:v>低动效/文本模式</x:v>
      </x:c>
      <x:c r="C24" s="52" t="str">
        <x:v>reduced-motion、无WebGL降级</x:v>
      </x:c>
      <x:c r="D24" s="52" t="str">
        <x:v>P0</x:v>
      </x:c>
      <x:c r="E24" s="52" t="str">
        <x:v>前端</x:v>
      </x:c>
      <x:c r="F24" s="52" t="str">
        <x:v>待开发</x:v>
      </x:c>
      <x:c r="G24" s="38" t="str">
        <x:v>信息等价</x:v>
      </x:c>
    </x:row>
    <x:row r="25">
      <x:c r="A25" s="37" t="str">
        <x:v>FR-021</x:v>
      </x:c>
      <x:c r="B25" s="52" t="str">
        <x:v>错误/断网</x:v>
      </x:c>
      <x:c r="C25" s="52" t="str">
        <x:v>重试、缓存状态、后端降级</x:v>
      </x:c>
      <x:c r="D25" s="52" t="str">
        <x:v>P0</x:v>
      </x:c>
      <x:c r="E25" s="52" t="str">
        <x:v>全栈</x:v>
      </x:c>
      <x:c r="F25" s="52" t="str">
        <x:v>待开发</x:v>
      </x:c>
      <x:c r="G25" s="38" t="str">
        <x:v>不白屏</x:v>
      </x:c>
    </x:row>
    <x:row r="26">
      <x:c r="A26" s="37" t="str">
        <x:v>FR-022</x:v>
      </x:c>
      <x:c r="B26" s="52" t="str">
        <x:v>匿名统计</x:v>
      </x:c>
      <x:c r="C26" s="52" t="str">
        <x:v>章节、分享、错误、性能</x:v>
      </x:c>
      <x:c r="D26" s="52" t="str">
        <x:v>P0</x:v>
      </x:c>
      <x:c r="E26" s="52" t="str">
        <x:v>后端</x:v>
      </x:c>
      <x:c r="F26" s="52" t="str">
        <x:v>待开发</x:v>
      </x:c>
      <x:c r="G26" s="38" t="str">
        <x:v>无PII</x:v>
      </x:c>
    </x:row>
    <x:row r="27">
      <x:c r="A27" s="37" t="str">
        <x:v>FR-023</x:v>
      </x:c>
      <x:c r="B27" s="52" t="str">
        <x:v>内容版本</x:v>
      </x:c>
      <x:c r="C27" s="52" t="str">
        <x:v>verified_at、status、revision_log</x:v>
      </x:c>
      <x:c r="D27" s="52" t="str">
        <x:v>P0</x:v>
      </x:c>
      <x:c r="E27" s="52" t="str">
        <x:v>后端/数据</x:v>
      </x:c>
      <x:c r="F27" s="52" t="str">
        <x:v>待开发</x:v>
      </x:c>
      <x:c r="G27" s="38" t="str">
        <x:v>旧事实可追踪</x:v>
      </x:c>
    </x:row>
    <x:row r="28">
      <x:c r="A28" s="37" t="str">
        <x:v>FR-024</x:v>
      </x:c>
      <x:c r="B28" s="52" t="str">
        <x:v>版权闸门</x:v>
      </x:c>
      <x:c r="C28" s="52" t="str">
        <x:v>非cleared素材阻止发布</x:v>
      </x:c>
      <x:c r="D28" s="52" t="str">
        <x:v>P0</x:v>
      </x:c>
      <x:c r="E28" s="52" t="str">
        <x:v>后端/构建</x:v>
      </x:c>
      <x:c r="F28" s="52" t="str">
        <x:v>待开发</x:v>
      </x:c>
      <x:c r="G28" s="38" t="str">
        <x:v>自动检查</x:v>
      </x:c>
    </x:row>
    <x:row r="29">
      <x:c r="A29" s="37" t="str">
        <x:v>FR-101</x:v>
      </x:c>
      <x:c r="B29" s="52" t="str">
        <x:v>网页3D/WebAR</x:v>
      </x:c>
      <x:c r="C29" s="52" t="str">
        <x:v>model-viewer按需；失败降级</x:v>
      </x:c>
      <x:c r="D29" s="52" t="str">
        <x:v>P1</x:v>
      </x:c>
      <x:c r="E29" s="52" t="str">
        <x:v>前端/3D</x:v>
      </x:c>
      <x:c r="F29" s="52" t="str">
        <x:v>待开发</x:v>
      </x:c>
      <x:c r="G29" s="38" t="str">
        <x:v>拒绝相机仍完成</x:v>
      </x:c>
    </x:row>
    <x:row r="30">
      <x:c r="A30" s="37" t="str">
        <x:v>FR-102</x:v>
      </x:c>
      <x:c r="B30" s="52" t="str">
        <x:v>中英双语</x:v>
      </x:c>
      <x:c r="C30" s="52" t="str">
        <x:v>核心页面、术语、证据与来源摘要</x:v>
      </x:c>
      <x:c r="D30" s="52" t="str">
        <x:v>P1</x:v>
      </x:c>
      <x:c r="E30" s="52" t="str">
        <x:v>内容/前端</x:v>
      </x:c>
      <x:c r="F30" s="52" t="str">
        <x:v>待开发</x:v>
      </x:c>
      <x:c r="G30" s="38" t="str">
        <x:v>语言深链</x:v>
      </x:c>
    </x:row>
    <x:row r="31">
      <x:c r="A31" s="37" t="str">
        <x:v>FR-103</x:v>
      </x:c>
      <x:c r="B31" s="52" t="str">
        <x:v>音频导览</x:v>
      </x:c>
      <x:c r="C31" s="52" t="str">
        <x:v>字幕、倍速、文本稿、静音默认</x:v>
      </x:c>
      <x:c r="D31" s="52" t="str">
        <x:v>P1</x:v>
      </x:c>
      <x:c r="E31" s="52" t="str">
        <x:v>内容/前端</x:v>
      </x:c>
      <x:c r="F31" s="52" t="str">
        <x:v>待开发</x:v>
      </x:c>
      <x:c r="G31" s="38" t="str">
        <x:v>可完全不用音频</x:v>
      </x:c>
    </x:row>
    <x:row r="32">
      <x:c r="A32" s="37" t="str">
        <x:v>FR-104</x:v>
      </x:c>
      <x:c r="B32" s="52" t="str">
        <x:v>教师模式</x:v>
      </x:c>
      <x:c r="C32" s="52" t="str">
        <x:v>问题卡、投屏、章节短链</x:v>
      </x:c>
      <x:c r="D32" s="52" t="str">
        <x:v>P1</x:v>
      </x:c>
      <x:c r="E32" s="52" t="str">
        <x:v>全栈</x:v>
      </x:c>
      <x:c r="F32" s="52" t="str">
        <x:v>待开发</x:v>
      </x:c>
      <x:c r="G32" s="38" t="str">
        <x:v>学生免登录</x:v>
      </x:c>
    </x:row>
    <x:row r="33">
      <x:c r="A33" s="37" t="str">
        <x:v>FR-105</x:v>
      </x:c>
      <x:c r="B33" s="52" t="str">
        <x:v>轻量CMS</x:v>
      </x:c>
      <x:c r="C33" s="52" t="str">
        <x:v>事实、来源、素材权利与版本发布</x:v>
      </x:c>
      <x:c r="D33" s="52" t="str">
        <x:v>P1</x:v>
      </x:c>
      <x:c r="E33" s="52" t="str">
        <x:v>后端</x:v>
      </x:c>
      <x:c r="F33" s="52" t="str">
        <x:v>待开发</x:v>
      </x:c>
      <x:c r="G33" s="38" t="str">
        <x:v>管理员鉴权</x:v>
      </x:c>
    </x:row>
    <x:row r="34">
      <x:c r="A34" s="39" t="str">
        <x:v>FR-106</x:v>
      </x:c>
      <x:c r="B34" s="53" t="str">
        <x:v>匿名反馈</x:v>
      </x:c>
      <x:c r="C34" s="53" t="str">
        <x:v>难懂/疑问，不采敏感信息</x:v>
      </x:c>
      <x:c r="D34" s="53" t="str">
        <x:v>P1</x:v>
      </x:c>
      <x:c r="E34" s="53" t="str">
        <x:v>全栈</x:v>
      </x:c>
      <x:c r="F34" s="53" t="str">
        <x:v>待开发</x:v>
      </x:c>
      <x:c r="G34" s="40" t="str">
        <x:v>可关闭</x:v>
      </x:c>
    </x:row>
  </x:sheetData>
  <x:mergeCells>
    <x:mergeCell ref="A1:G1"/>
    <x:mergeCell ref="A2:G2"/>
  </x:mergeCells>
  <x:conditionalFormatting sqref="D5:D300">
    <x:cfRule type="containsText" dxfId="2" priority="1" operator="containsText" text="P0"/>
  </x:conditionalFormatting>
  <x:conditionalFormatting sqref="F5:F300">
    <x:cfRule type="containsText" dxfId="3" priority="2" operator="containsText" text="已完成"/>
  </x:conditionalFormatting>
  <x:dataValidations count="2">
    <x:dataValidation type="list" sqref="D5:D300">
      <x:formula1>"P0,P1,P2"</x:formula1>
    </x:dataValidation>
    <x:dataValidation type="list" sqref="F5:F300">
      <x:formula1>"待开发,进行中,待验证,已完成,阻塞"</x:formula1>
    </x:dataValidation>
  </x:dataValidations>
  <x:pageMargins left="0.7" right="0.7" top="0.75" bottom="0.75" header="0.3" footer="0.3"/>
  <x:tableParts count="1">
    <x:tablePart xmlns:r="http://schemas.openxmlformats.org/officeDocument/2006/relationships" r:id="Rc0ff07c6cd4243f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11.109999656677246" hidden="0" customWidth="1"/>
    <x:col min="3" max="3" width="21.110000610351562" hidden="0" customWidth="1"/>
    <x:col min="4" max="4" width="18.889999389648438" hidden="0" customWidth="1"/>
    <x:col min="5" max="5" width="13.329999923706055" hidden="0" customWidth="1"/>
    <x:col min="6" max="6" width="13.329999923706055" hidden="0" customWidth="1"/>
    <x:col min="7" max="7" width="15.5600004196167" hidden="0" customWidth="1"/>
    <x:col min="8" max="8" width="11.109999656677246" hidden="0" customWidth="1"/>
    <x:col min="9" max="9" width="28.889999389648438" hidden="0" customWidth="1"/>
    <x:col min="10" max="10" width="8.890000343322754" hidden="0" customWidth="1"/>
  </x:cols>
  <x:sheetData>
    <x:row r="1" ht="34" customHeight="1">
      <x:c r="A1" s="3" t="str">
        <x:v>媒体素材与版权闸门</x:v>
      </x:c>
    </x:row>
    <x:row r="2" ht="30" customHeight="1">
      <x:c r="A2" s="7" t="str">
        <x:v>rights_status不是cleared的素材不得进入提交版；政府/媒体网页公开可见不等于允许参赛二次传播。</x:v>
      </x:c>
    </x:row>
    <x:row r="3" ht="8" customHeight="1"/>
    <x:row r="4" ht="30" customHeight="1">
      <x:c r="A4" s="20" t="str">
        <x:v>asset_id</x:v>
      </x:c>
      <x:c r="B4" s="44" t="str">
        <x:v>asset_type</x:v>
      </x:c>
      <x:c r="C4" s="44" t="str">
        <x:v>subject</x:v>
      </x:c>
      <x:c r="D4" s="44" t="str">
        <x:v>format</x:v>
      </x:c>
      <x:c r="E4" s="44" t="str">
        <x:v>origin</x:v>
      </x:c>
      <x:c r="F4" s="44" t="str">
        <x:v>creator</x:v>
      </x:c>
      <x:c r="G4" s="44" t="str">
        <x:v>permission_proof</x:v>
      </x:c>
      <x:c r="H4" s="44" t="str">
        <x:v>rights_status</x:v>
      </x:c>
      <x:c r="I4" s="44" t="str">
        <x:v>fact_boundary</x:v>
      </x:c>
      <x:c r="J4" s="21" t="str">
        <x:v>priority</x:v>
      </x:c>
    </x:row>
    <x:row r="5">
      <x:c r="A5" s="35" t="str">
        <x:v>M001</x:v>
      </x:c>
      <x:c r="B5" s="51" t="str">
        <x:v>image/svg</x:v>
      </x:c>
      <x:c r="C5" s="51" t="str">
        <x:v>辽西—牛河梁概化定位图</x:v>
      </x:c>
      <x:c r="D5" s="51" t="str">
        <x:v>原创SVG</x:v>
      </x:c>
      <x:c r="E5" s="51" t="str">
        <x:v>原创</x:v>
      </x:c>
      <x:c r="F5" s="51" t="str">
        <x:v>团队</x:v>
      </x:c>
      <x:c r="G5" s="51" t="str">
        <x:v>待获取</x:v>
      </x:c>
      <x:c r="H5" s="51" t="str">
        <x:v>pending</x:v>
      </x:c>
      <x:c r="I5" s="51" t="str">
        <x:v>不显示敏感坐标</x:v>
      </x:c>
      <x:c r="J5" s="36" t="str">
        <x:v>P0</x:v>
      </x:c>
    </x:row>
    <x:row r="6">
      <x:c r="A6" s="37" t="str">
        <x:v>M002</x:v>
      </x:c>
      <x:c r="B6" s="52" t="str">
        <x:v>image/svg</x:v>
      </x:c>
      <x:c r="C6" s="52" t="str">
        <x:v>文化序列时间长卷</x:v>
      </x:c>
      <x:c r="D6" s="52" t="str">
        <x:v>原创数据可视化</x:v>
      </x:c>
      <x:c r="E6" s="52" t="str">
        <x:v>原创</x:v>
      </x:c>
      <x:c r="F6" s="52" t="str">
        <x:v>团队</x:v>
      </x:c>
      <x:c r="G6" s="52" t="str">
        <x:v>待获取</x:v>
      </x:c>
      <x:c r="H6" s="52" t="str">
        <x:v>pending</x:v>
      </x:c>
      <x:c r="I6" s="52" t="str">
        <x:v>逐节点来源</x:v>
      </x:c>
      <x:c r="J6" s="38" t="str">
        <x:v>P0</x:v>
      </x:c>
    </x:row>
    <x:row r="7">
      <x:c r="A7" s="37" t="str">
        <x:v>M003</x:v>
      </x:c>
      <x:c r="B7" s="52" t="str">
        <x:v>image/svg</x:v>
      </x:c>
      <x:c r="C7" s="52" t="str">
        <x:v>九台关系总图</x:v>
      </x:c>
      <x:c r="D7" s="52" t="str">
        <x:v>简化俯视/等轴示意</x:v>
      </x:c>
      <x:c r="E7" s="52" t="str">
        <x:v>原创衍生</x:v>
      </x:c>
      <x:c r="F7" s="52" t="str">
        <x:v>团队</x:v>
      </x:c>
      <x:c r="G7" s="52" t="str">
        <x:v>待获取</x:v>
      </x:c>
      <x:c r="H7" s="52" t="str">
        <x:v>pending</x:v>
      </x:c>
      <x:c r="I7" s="52" t="str">
        <x:v>不描摹完整发掘图版</x:v>
      </x:c>
      <x:c r="J7" s="38" t="str">
        <x:v>P0</x:v>
      </x:c>
    </x:row>
    <x:row r="8">
      <x:c r="A8" s="37" t="str">
        <x:v>M004</x:v>
      </x:c>
      <x:c r="B8" s="52" t="str">
        <x:v>image/svg</x:v>
      </x:c>
      <x:c r="C8" s="52" t="str">
        <x:v>2号台基平面与剖面</x:v>
      </x:c>
      <x:c r="D8" s="52" t="str">
        <x:v>比例SVG+动画</x:v>
      </x:c>
      <x:c r="E8" s="52" t="str">
        <x:v>原创衍生</x:v>
      </x:c>
      <x:c r="F8" s="52" t="str">
        <x:v>团队</x:v>
      </x:c>
      <x:c r="G8" s="52" t="str">
        <x:v>待获取</x:v>
      </x:c>
      <x:c r="H8" s="52" t="str">
        <x:v>pending</x:v>
      </x:c>
      <x:c r="I8" s="52" t="str">
        <x:v>依据公开描述绘制</x:v>
      </x:c>
      <x:c r="J8" s="38" t="str">
        <x:v>P0</x:v>
      </x:c>
    </x:row>
    <x:row r="9">
      <x:c r="A9" s="37" t="str">
        <x:v>M005</x:v>
      </x:c>
      <x:c r="B9" s="52" t="str">
        <x:v>animation</x:v>
      </x:c>
      <x:c r="C9" s="52" t="str">
        <x:v>挡水墙/排水沟</x:v>
      </x:c>
      <x:c r="D9" s="52" t="str">
        <x:v>工程原理动画</x:v>
      </x:c>
      <x:c r="E9" s="52" t="str">
        <x:v>原创</x:v>
      </x:c>
      <x:c r="F9" s="52" t="str">
        <x:v>团队</x:v>
      </x:c>
      <x:c r="G9" s="52" t="str">
        <x:v>待获取</x:v>
      </x:c>
      <x:c r="H9" s="52" t="str">
        <x:v>pending</x:v>
      </x:c>
      <x:c r="I9" s="52" t="str">
        <x:v>不虚构完整系统</x:v>
      </x:c>
      <x:c r="J9" s="38" t="str">
        <x:v>P0</x:v>
      </x:c>
    </x:row>
    <x:row r="10">
      <x:c r="A10" s="37" t="str">
        <x:v>M006</x:v>
      </x:c>
      <x:c r="B10" s="52" t="str">
        <x:v>image/svg</x:v>
      </x:c>
      <x:c r="C10" s="52" t="str">
        <x:v>女神庙证据镜片</x:v>
      </x:c>
      <x:c r="D10" s="52" t="str">
        <x:v>实证/解释/示意三层</x:v>
      </x:c>
      <x:c r="E10" s="52" t="str">
        <x:v>原创衍生</x:v>
      </x:c>
      <x:c r="F10" s="52" t="str">
        <x:v>团队</x:v>
      </x:c>
      <x:c r="G10" s="52" t="str">
        <x:v>待获取</x:v>
      </x:c>
      <x:c r="H10" s="52" t="str">
        <x:v>pending</x:v>
      </x:c>
      <x:c r="I10" s="52" t="str">
        <x:v>推测层常驻标识</x:v>
      </x:c>
      <x:c r="J10" s="38" t="str">
        <x:v>P0</x:v>
      </x:c>
    </x:row>
    <x:row r="11">
      <x:c r="A11" s="37" t="str">
        <x:v>M007</x:v>
      </x:c>
      <x:c r="B11" s="52" t="str">
        <x:v>image/svg</x:v>
      </x:c>
      <x:c r="C11" s="52" t="str">
        <x:v>泥塑头像材料档案</x:v>
      </x:c>
      <x:c r="D11" s="52" t="str">
        <x:v>原创线描+材料分层</x:v>
      </x:c>
      <x:c r="E11" s="52" t="str">
        <x:v>原创衍生</x:v>
      </x:c>
      <x:c r="F11" s="52" t="str">
        <x:v>团队</x:v>
      </x:c>
      <x:c r="G11" s="52" t="str">
        <x:v>待获取</x:v>
      </x:c>
      <x:c r="H11" s="52" t="str">
        <x:v>pending</x:v>
      </x:c>
      <x:c r="I11" s="52" t="str">
        <x:v>不高相似描摹新闻照</x:v>
      </x:c>
      <x:c r="J11" s="38" t="str">
        <x:v>P0</x:v>
      </x:c>
    </x:row>
    <x:row r="12">
      <x:c r="A12" s="37" t="str">
        <x:v>M008</x:v>
      </x:c>
      <x:c r="B12" s="52" t="str">
        <x:v>image/svg</x:v>
      </x:c>
      <x:c r="C12" s="52" t="str">
        <x:v>N2Z3三环互动尺</x:v>
      </x:c>
      <x:c r="D12" s="52" t="str">
        <x:v>严格比例SVG</x:v>
      </x:c>
      <x:c r="E12" s="52" t="str">
        <x:v>原创</x:v>
      </x:c>
      <x:c r="F12" s="52" t="str">
        <x:v>团队</x:v>
      </x:c>
      <x:c r="G12" s="52" t="str">
        <x:v>待获取</x:v>
      </x:c>
      <x:c r="H12" s="52" t="str">
        <x:v>pending</x:v>
      </x:c>
      <x:c r="I12" s="52" t="str">
        <x:v>假说层分开</x:v>
      </x:c>
      <x:c r="J12" s="38" t="str">
        <x:v>P0</x:v>
      </x:c>
    </x:row>
    <x:row r="13">
      <x:c r="A13" s="37" t="str">
        <x:v>M009</x:v>
      </x:c>
      <x:c r="B13" s="52" t="str">
        <x:v>chart/svg</x:v>
      </x:c>
      <x:c r="C13" s="52" t="str">
        <x:v>66墓矩阵</x:v>
      </x:c>
      <x:c r="D13" s="52" t="str">
        <x:v>原创信息图</x:v>
      </x:c>
      <x:c r="E13" s="52" t="str">
        <x:v>原创</x:v>
      </x:c>
      <x:c r="F13" s="52" t="str">
        <x:v>团队</x:v>
      </x:c>
      <x:c r="G13" s="52" t="str">
        <x:v>待获取</x:v>
      </x:c>
      <x:c r="H13" s="52" t="str">
        <x:v>pending</x:v>
      </x:c>
      <x:c r="I13" s="52" t="str">
        <x:v>37/29/145口径</x:v>
      </x:c>
      <x:c r="J13" s="38" t="str">
        <x:v>P0</x:v>
      </x:c>
    </x:row>
    <x:row r="14">
      <x:c r="A14" s="37" t="str">
        <x:v>M010</x:v>
      </x:c>
      <x:c r="B14" s="52" t="str">
        <x:v>data-card</x:v>
      </x:c>
      <x:c r="C14" s="52" t="str">
        <x:v>代表墓对照卡</x:v>
      </x:c>
      <x:c r="D14" s="52" t="str">
        <x:v>数据档案</x:v>
      </x:c>
      <x:c r="E14" s="52" t="str">
        <x:v>原创</x:v>
      </x:c>
      <x:c r="F14" s="52" t="str">
        <x:v>团队</x:v>
      </x:c>
      <x:c r="G14" s="52" t="str">
        <x:v>待获取</x:v>
      </x:c>
      <x:c r="H14" s="52" t="str">
        <x:v>pending</x:v>
      </x:c>
      <x:c r="I14" s="52" t="str">
        <x:v>器物照片另授权</x:v>
      </x:c>
      <x:c r="J14" s="38" t="str">
        <x:v>P0</x:v>
      </x:c>
    </x:row>
    <x:row r="15">
      <x:c r="A15" s="37" t="str">
        <x:v>M011</x:v>
      </x:c>
      <x:c r="B15" s="52" t="str">
        <x:v>animation/svg</x:v>
      </x:c>
      <x:c r="C15" s="52" t="str">
        <x:v>第十三地点7.5m剖面</x:v>
      </x:c>
      <x:c r="D15" s="52" t="str">
        <x:v>概念剖面</x:v>
      </x:c>
      <x:c r="E15" s="52" t="str">
        <x:v>原创衍生</x:v>
      </x:c>
      <x:c r="F15" s="52" t="str">
        <x:v>团队</x:v>
      </x:c>
      <x:c r="G15" s="52" t="str">
        <x:v>待获取</x:v>
      </x:c>
      <x:c r="H15" s="52" t="str">
        <x:v>pending</x:v>
      </x:c>
      <x:c r="I15" s="52" t="str">
        <x:v>非完整复原</x:v>
      </x:c>
      <x:c r="J15" s="38" t="str">
        <x:v>P0</x:v>
      </x:c>
    </x:row>
    <x:row r="16">
      <x:c r="A16" s="37" t="str">
        <x:v>M012</x:v>
      </x:c>
      <x:c r="B16" s="52" t="str">
        <x:v>map/svg</x:v>
      </x:c>
      <x:c r="C16" s="52" t="str">
        <x:v>2026调查网格</x:v>
      </x:c>
      <x:c r="D16" s="52" t="str">
        <x:v>50m网格聚合</x:v>
      </x:c>
      <x:c r="E16" s="52" t="str">
        <x:v>原创</x:v>
      </x:c>
      <x:c r="F16" s="52" t="str">
        <x:v>团队</x:v>
      </x:c>
      <x:c r="G16" s="52" t="str">
        <x:v>待获取</x:v>
      </x:c>
      <x:c r="H16" s="52" t="str">
        <x:v>pending</x:v>
      </x:c>
      <x:c r="I16" s="52" t="str">
        <x:v>无敏感坐标</x:v>
      </x:c>
      <x:c r="J16" s="38" t="str">
        <x:v>P0</x:v>
      </x:c>
    </x:row>
    <x:row r="17">
      <x:c r="A17" s="37" t="str">
        <x:v>M013</x:v>
      </x:c>
      <x:c r="B17" s="52" t="str">
        <x:v>interaction</x:v>
      </x:c>
      <x:c r="C17" s="52" t="str">
        <x:v>2013—2026更新滑杆</x:v>
      </x:c>
      <x:c r="D17" s="52" t="str">
        <x:v>原创界面</x:v>
      </x:c>
      <x:c r="E17" s="52" t="str">
        <x:v>原创</x:v>
      </x:c>
      <x:c r="F17" s="52" t="str">
        <x:v>团队</x:v>
      </x:c>
      <x:c r="G17" s="52" t="str">
        <x:v>待获取</x:v>
      </x:c>
      <x:c r="H17" s="52" t="str">
        <x:v>pending</x:v>
      </x:c>
      <x:c r="I17" s="52" t="str">
        <x:v>日期/范围显示</x:v>
      </x:c>
      <x:c r="J17" s="38" t="str">
        <x:v>P0</x:v>
      </x:c>
    </x:row>
    <x:row r="18">
      <x:c r="A18" s="37" t="str">
        <x:v>M014</x:v>
      </x:c>
      <x:c r="B18" s="52" t="str">
        <x:v>icon/svg</x:v>
      </x:c>
      <x:c r="C18" s="52" t="str">
        <x:v>证据等级图标</x:v>
      </x:c>
      <x:c r="D18" s="52" t="str">
        <x:v>OBS/SYN/INF/HYP</x:v>
      </x:c>
      <x:c r="E18" s="52" t="str">
        <x:v>原创</x:v>
      </x:c>
      <x:c r="F18" s="52" t="str">
        <x:v>团队</x:v>
      </x:c>
      <x:c r="G18" s="52" t="str">
        <x:v>待获取</x:v>
      </x:c>
      <x:c r="H18" s="52" t="str">
        <x:v>pending</x:v>
      </x:c>
      <x:c r="I18" s="52" t="str">
        <x:v>形状+文本</x:v>
      </x:c>
      <x:c r="J18" s="38" t="str">
        <x:v>P0</x:v>
      </x:c>
    </x:row>
    <x:row r="19">
      <x:c r="A19" s="37" t="str">
        <x:v>M015</x:v>
      </x:c>
      <x:c r="B19" s="52" t="str">
        <x:v>card/svg</x:v>
      </x:c>
      <x:c r="C19" s="52" t="str">
        <x:v>保护/申遗状态卡</x:v>
      </x:c>
      <x:c r="D19" s="52" t="str">
        <x:v>法规与目录状态</x:v>
      </x:c>
      <x:c r="E19" s="52" t="str">
        <x:v>原创</x:v>
      </x:c>
      <x:c r="F19" s="52" t="str">
        <x:v>团队</x:v>
      </x:c>
      <x:c r="G19" s="52" t="str">
        <x:v>待获取</x:v>
      </x:c>
      <x:c r="H19" s="52" t="str">
        <x:v>pending</x:v>
      </x:c>
      <x:c r="I19" s="52" t="str">
        <x:v>不用UNESCO徽标</x:v>
      </x:c>
      <x:c r="J19" s="38" t="str">
        <x:v>P0</x:v>
      </x:c>
    </x:row>
    <x:row r="20">
      <x:c r="A20" s="37" t="str">
        <x:v>M016</x:v>
      </x:c>
      <x:c r="B20" s="52" t="str">
        <x:v>illustration</x:v>
      </x:c>
      <x:c r="C20" s="52" t="str">
        <x:v>生产生活场景分层图</x:v>
      </x:c>
      <x:c r="D20" s="52" t="str">
        <x:v>非人物叙事的环境/器物组合</x:v>
      </x:c>
      <x:c r="E20" s="52" t="str">
        <x:v>艺术化示意</x:v>
      </x:c>
      <x:c r="F20" s="52" t="str">
        <x:v>团队/AI辅助</x:v>
      </x:c>
      <x:c r="G20" s="52" t="str">
        <x:v>待获取</x:v>
      </x:c>
      <x:c r="H20" s="52" t="str">
        <x:v>pending</x:v>
      </x:c>
      <x:c r="I20" s="52" t="str">
        <x:v>AI标注与提示词记录</x:v>
      </x:c>
      <x:c r="J20" s="38" t="str">
        <x:v>P0</x:v>
      </x:c>
    </x:row>
    <x:row r="21">
      <x:c r="A21" s="37" t="str">
        <x:v>M017</x:v>
      </x:c>
      <x:c r="B21" s="52" t="str">
        <x:v>atlas</x:v>
      </x:c>
      <x:c r="C21" s="52" t="str">
        <x:v>玉器/陶器图鉴图</x:v>
      </x:c>
      <x:c r="D21" s="52" t="str">
        <x:v>授权照片或原创线描</x:v>
      </x:c>
      <x:c r="E21" s="52" t="str">
        <x:v>待定</x:v>
      </x:c>
      <x:c r="F21" s="52" t="str">
        <x:v>待定</x:v>
      </x:c>
      <x:c r="G21" s="52" t="str">
        <x:v>待获取</x:v>
      </x:c>
      <x:c r="H21" s="52" t="str">
        <x:v>blocked</x:v>
      </x:c>
      <x:c r="I21" s="52" t="str">
        <x:v>无授权照片不得上线</x:v>
      </x:c>
      <x:c r="J21" s="38" t="str">
        <x:v>P0</x:v>
      </x:c>
    </x:row>
    <x:row r="22">
      <x:c r="A22" s="37" t="str">
        <x:v>M018</x:v>
      </x:c>
      <x:c r="B22" s="52" t="str">
        <x:v>model/glb</x:v>
      </x:c>
      <x:c r="C22" s="52" t="str">
        <x:v>第十三地点1:50模型</x:v>
      </x:c>
      <x:c r="D22" s="52" t="str">
        <x:v>GLB+USDZ可选</x:v>
      </x:c>
      <x:c r="E22" s="52" t="str">
        <x:v>原创衍生</x:v>
      </x:c>
      <x:c r="F22" s="52" t="str">
        <x:v>团队</x:v>
      </x:c>
      <x:c r="G22" s="52" t="str">
        <x:v>待获取</x:v>
      </x:c>
      <x:c r="H22" s="52" t="str">
        <x:v>pending</x:v>
      </x:c>
      <x:c r="I22" s="52" t="str">
        <x:v>实证与补全分层</x:v>
      </x:c>
      <x:c r="J22" s="38" t="str">
        <x:v>P1</x:v>
      </x:c>
    </x:row>
    <x:row r="23">
      <x:c r="A23" s="37" t="str">
        <x:v>M019</x:v>
      </x:c>
      <x:c r="B23" s="52" t="str">
        <x:v>audio</x:v>
      </x:c>
      <x:c r="C23" s="52" t="str">
        <x:v>环境音</x:v>
      </x:c>
      <x:c r="D23" s="52" t="str">
        <x:v>风、脚步、刷土等原创录音</x:v>
      </x:c>
      <x:c r="E23" s="52" t="str">
        <x:v>原创</x:v>
      </x:c>
      <x:c r="F23" s="52" t="str">
        <x:v>团队</x:v>
      </x:c>
      <x:c r="G23" s="52" t="str">
        <x:v>待获取</x:v>
      </x:c>
      <x:c r="H23" s="52" t="str">
        <x:v>pending</x:v>
      </x:c>
      <x:c r="I23" s="52" t="str">
        <x:v>非史前声音复原</x:v>
      </x:c>
      <x:c r="J23" s="38" t="str">
        <x:v>P1</x:v>
      </x:c>
    </x:row>
    <x:row r="24">
      <x:c r="A24" s="39" t="str">
        <x:v>M020</x:v>
      </x:c>
      <x:c r="B24" s="53" t="str">
        <x:v>image</x:v>
      </x:c>
      <x:c r="C24" s="53" t="str">
        <x:v>分享报告背景</x:v>
      </x:c>
      <x:c r="D24" s="53" t="str">
        <x:v>1080×1920</x:v>
      </x:c>
      <x:c r="E24" s="53" t="str">
        <x:v>原创</x:v>
      </x:c>
      <x:c r="F24" s="53" t="str">
        <x:v>团队</x:v>
      </x:c>
      <x:c r="G24" s="53" t="str">
        <x:v>待获取</x:v>
      </x:c>
      <x:c r="H24" s="53" t="str">
        <x:v>pending</x:v>
      </x:c>
      <x:c r="I24" s="53" t="str">
        <x:v>文字清晰可读</x:v>
      </x:c>
      <x:c r="J24" s="40" t="str">
        <x:v>P0</x:v>
      </x:c>
    </x:row>
  </x:sheetData>
  <x:mergeCells>
    <x:mergeCell ref="A1:J1"/>
    <x:mergeCell ref="A2:J2"/>
  </x:mergeCells>
  <x:conditionalFormatting sqref="H5:H300">
    <x:cfRule type="containsText" dxfId="4" priority="1" operator="containsText" text="blocked"/>
    <x:cfRule type="containsText" dxfId="5" priority="2" operator="containsText" text="cleared"/>
  </x:conditionalFormatting>
  <x:dataValidations count="1">
    <x:dataValidation type="list" sqref="H5:H300">
      <x:formula1>"cleared,pending,blocked"</x:formula1>
    </x:dataValidation>
  </x:dataValidations>
  <x:pageMargins left="0.7" right="0.7" top="0.75" bottom="0.75" header="0.3" footer="0.3"/>
  <x:tableParts count="1">
    <x:tablePart xmlns:r="http://schemas.openxmlformats.org/officeDocument/2006/relationships" r:id="R66f46361b02e4cf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22.219999313354492" hidden="0" customWidth="1"/>
    <x:col min="3" max="3" width="10" hidden="0" customWidth="1"/>
    <x:col min="4" max="4" width="10" hidden="0" customWidth="1"/>
    <x:col min="5" max="5" width="35.560001373291016" hidden="0" customWidth="1"/>
    <x:col min="6" max="6" width="13.329999923706055" hidden="0" customWidth="1"/>
    <x:col min="7" max="7" width="10" hidden="0" customWidth="1"/>
  </x:cols>
  <x:sheetData>
    <x:row r="1" ht="34" customHeight="1">
      <x:c r="A1" s="3" t="str">
        <x:v>风险登记与发布QA</x:v>
      </x:c>
    </x:row>
    <x:row r="2" ht="30" customHeight="1">
      <x:c r="A2" s="7" t="str">
        <x:v>任何一项事实、版权、二维码、稳定性一票否决问题都必须在提交前关闭。</x:v>
      </x:c>
    </x:row>
    <x:row r="3" ht="8" customHeight="1"/>
    <x:row r="4" ht="30" customHeight="1">
      <x:c r="A4" s="20" t="str">
        <x:v>risk_id</x:v>
      </x:c>
      <x:c r="B4" s="44" t="str">
        <x:v>risk</x:v>
      </x:c>
      <x:c r="C4" s="44" t="str">
        <x:v>probability</x:v>
      </x:c>
      <x:c r="D4" s="44" t="str">
        <x:v>impact</x:v>
      </x:c>
      <x:c r="E4" s="44" t="str">
        <x:v>mitigation</x:v>
      </x:c>
      <x:c r="F4" s="44" t="str">
        <x:v>owner</x:v>
      </x:c>
      <x:c r="G4" s="21" t="str">
        <x:v>status</x:v>
      </x:c>
    </x:row>
    <x:row r="5">
      <x:c r="A5" s="35" t="str">
        <x:v>R01</x:v>
      </x:c>
      <x:c r="B5" s="51" t="str">
        <x:v>普通数字博物馆同质化</x:v>
      </x:c>
      <x:c r="C5" s="51" t="str">
        <x:v>高</x:v>
      </x:c>
      <x:c r="D5" s="51" t="str">
        <x:v>高</x:v>
      </x:c>
      <x:c r="E5" s="51" t="str">
        <x:v>证据推理+系统长卷双层结构</x:v>
      </x:c>
      <x:c r="F5" s="51" t="str">
        <x:v>产品负责人</x:v>
      </x:c>
      <x:c r="G5" s="36" t="str">
        <x:v>开放</x:v>
      </x:c>
    </x:row>
    <x:row r="6">
      <x:c r="A6" s="37" t="str">
        <x:v>R02</x:v>
      </x:c>
      <x:c r="B6" s="52" t="str">
        <x:v>历史过宽导致信息堆砌</x:v>
      </x:c>
      <x:c r="C6" s="52" t="str">
        <x:v>高</x:v>
      </x:c>
      <x:c r="D6" s="52" t="str">
        <x:v>高</x:v>
      </x:c>
      <x:c r="E6" s="52" t="str">
        <x:v>三层信息密度：摘要/展开/来源</x:v>
      </x:c>
      <x:c r="F6" s="52" t="str">
        <x:v>内容设计</x:v>
      </x:c>
      <x:c r="G6" s="38" t="str">
        <x:v>开放</x:v>
      </x:c>
    </x:row>
    <x:row r="7">
      <x:c r="A7" s="37" t="str">
        <x:v>R03</x:v>
      </x:c>
      <x:c r="B7" s="52" t="str">
        <x:v>考古结论过度确定</x:v>
      </x:c>
      <x:c r="C7" s="52" t="str">
        <x:v>中</x:v>
      </x:c>
      <x:c r="D7" s="52" t="str">
        <x:v>极高</x:v>
      </x:c>
      <x:c r="E7" s="52" t="str">
        <x:v>证据等级、限定词、发布校验</x:v>
      </x:c>
      <x:c r="F7" s="52" t="str">
        <x:v>学术审核</x:v>
      </x:c>
      <x:c r="G7" s="38" t="str">
        <x:v>开放</x:v>
      </x:c>
    </x:row>
    <x:row r="8">
      <x:c r="A8" s="37" t="str">
        <x:v>R04</x:v>
      </x:c>
      <x:c r="B8" s="52" t="str">
        <x:v>素材版权不清</x:v>
      </x:c>
      <x:c r="C8" s="52" t="str">
        <x:v>中</x:v>
      </x:c>
      <x:c r="D8" s="52" t="str">
        <x:v>极高</x:v>
      </x:c>
      <x:c r="E8" s="52" t="str">
        <x:v>原创信息图优先；rights_status闸门</x:v>
      </x:c>
      <x:c r="F8" s="52" t="str">
        <x:v>版权负责人</x:v>
      </x:c>
      <x:c r="G8" s="38" t="str">
        <x:v>开放</x:v>
      </x:c>
    </x:row>
    <x:row r="9">
      <x:c r="A9" s="37" t="str">
        <x:v>R05</x:v>
      </x:c>
      <x:c r="B9" s="52" t="str">
        <x:v>AR现场打不开</x:v>
      </x:c>
      <x:c r="C9" s="52" t="str">
        <x:v>高</x:v>
      </x:c>
      <x:c r="D9" s="52" t="str">
        <x:v>中</x:v>
      </x:c>
      <x:c r="E9" s="52" t="str">
        <x:v>3D默认；能力检测；录屏备份</x:v>
      </x:c>
      <x:c r="F9" s="52" t="str">
        <x:v>技术负责人</x:v>
      </x:c>
      <x:c r="G9" s="38" t="str">
        <x:v>开放</x:v>
      </x:c>
    </x:row>
    <x:row r="10">
      <x:c r="A10" s="37" t="str">
        <x:v>R06</x:v>
      </x:c>
      <x:c r="B10" s="52" t="str">
        <x:v>首屏过重</x:v>
      </x:c>
      <x:c r="C10" s="52" t="str">
        <x:v>中</x:v>
      </x:c>
      <x:c r="D10" s="52" t="str">
        <x:v>高</x:v>
      </x:c>
      <x:c r="E10" s="52" t="str">
        <x:v>3D/音频按需；性能预算</x:v>
      </x:c>
      <x:c r="F10" s="52" t="str">
        <x:v>前端</x:v>
      </x:c>
      <x:c r="G10" s="38" t="str">
        <x:v>开放</x:v>
      </x:c>
    </x:row>
    <x:row r="11">
      <x:c r="A11" s="37" t="str">
        <x:v>R07</x:v>
      </x:c>
      <x:c r="B11" s="52" t="str">
        <x:v>Agent代码不可维护</x:v>
      </x:c>
      <x:c r="C11" s="52" t="str">
        <x:v>中</x:v>
      </x:c>
      <x:c r="D11" s="52" t="str">
        <x:v>高</x:v>
      </x:c>
      <x:c r="E11" s="52" t="str">
        <x:v>先schema/组件树；模块化；测试</x:v>
      </x:c>
      <x:c r="F11" s="52" t="str">
        <x:v>技术负责人</x:v>
      </x:c>
      <x:c r="G11" s="38" t="str">
        <x:v>开放</x:v>
      </x:c>
    </x:row>
    <x:row r="12">
      <x:c r="A12" s="37" t="str">
        <x:v>R08</x:v>
      </x:c>
      <x:c r="B12" s="52" t="str">
        <x:v>SQLite数据丢失</x:v>
      </x:c>
      <x:c r="C12" s="52" t="str">
        <x:v>低</x:v>
      </x:c>
      <x:c r="D12" s="52" t="str">
        <x:v>高</x:v>
      </x:c>
      <x:c r="E12" s="52" t="str">
        <x:v>持久卷、备份、种子重建</x:v>
      </x:c>
      <x:c r="F12" s="52" t="str">
        <x:v>后端</x:v>
      </x:c>
      <x:c r="G12" s="38" t="str">
        <x:v>开放</x:v>
      </x:c>
    </x:row>
    <x:row r="13">
      <x:c r="A13" s="37" t="str">
        <x:v>R09</x:v>
      </x:c>
      <x:c r="B13" s="52" t="str">
        <x:v>微信浏览器限制</x:v>
      </x:c>
      <x:c r="C13" s="52" t="str">
        <x:v>中</x:v>
      </x:c>
      <x:c r="D13" s="52" t="str">
        <x:v>中</x:v>
      </x:c>
      <x:c r="E13" s="52" t="str">
        <x:v>核心H5兼容；AR提示系统浏览器</x:v>
      </x:c>
      <x:c r="F13" s="52" t="str">
        <x:v>QA</x:v>
      </x:c>
      <x:c r="G13" s="38" t="str">
        <x:v>开放</x:v>
      </x:c>
    </x:row>
    <x:row r="14">
      <x:c r="A14" s="39" t="str">
        <x:v>R10</x:v>
      </x:c>
      <x:c r="B14" s="53" t="str">
        <x:v>评委不操作</x:v>
      </x:c>
      <x:c r="C14" s="53" t="str">
        <x:v>中</x:v>
      </x:c>
      <x:c r="D14" s="53" t="str">
        <x:v>极高</x:v>
      </x:c>
      <x:c r="E14" s="53" t="str">
        <x:v>30秒入口；60秒录屏；现场主持脚本</x:v>
      </x:c>
      <x:c r="F14" s="53" t="str">
        <x:v>答辩负责人</x:v>
      </x:c>
      <x:c r="G14" s="40" t="str">
        <x:v>开放</x:v>
      </x:c>
    </x:row>
  </x:sheetData>
  <x:mergeCells>
    <x:mergeCell ref="A1:G1"/>
    <x:mergeCell ref="A2:G2"/>
  </x:mergeCells>
  <x:dataValidations count="1">
    <x:dataValidation type="list" sqref="G5:G200">
      <x:formula1>"开放,缓解中,已关闭,接受"</x:formula1>
    </x:dataValidation>
  </x:dataValidations>
  <x:pageMargins left="0.7" right="0.7" top="0.75" bottom="0.75" header="0.3" footer="0.3"/>
  <x:tableParts count="1">
    <x:tablePart xmlns:r="http://schemas.openxmlformats.org/officeDocument/2006/relationships" r:id="R9241f1e4407f41e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7.780000686645508" hidden="0" customWidth="1"/>
    <x:col min="2" max="2" width="24.440000534057617" hidden="0" customWidth="1"/>
    <x:col min="3" max="3" width="17.780000686645508" hidden="0" customWidth="1"/>
    <x:col min="4" max="4" width="17.780000686645508" hidden="0" customWidth="1"/>
    <x:col min="5" max="5" width="17.780000686645508" hidden="0" customWidth="1"/>
    <x:col min="6" max="6" width="17.780000686645508" hidden="0" customWidth="1"/>
  </x:cols>
  <x:sheetData>
    <x:row r="1" ht="34" customHeight="1">
      <x:c r="A1" s="3" t="str">
        <x:v>Agent输入包</x:v>
      </x:c>
    </x:row>
    <x:row r="2" ht="30" customHeight="1">
      <x:c r="A2" s="7" t="str">
        <x:v>将A区参数按截图选择；B区直接复制到“项目标题/想法”；C区逐行复制到“功能要求”。</x:v>
      </x:c>
    </x:row>
    <x:row r="3" ht="8" customHeight="1"/>
    <x:row r="4" ht="30" customHeight="1">
      <x:c r="A4" s="20" t="str">
        <x:v>项目参数</x:v>
      </x:c>
      <x:c r="B4" s="21" t="str">
        <x:v>选择</x:v>
      </x:c>
    </x:row>
    <x:row r="5">
      <x:c r="A5" s="35" t="str">
        <x:v>项目类型</x:v>
      </x:c>
      <x:c r="B5" s="36" t="str">
        <x:v>全栈Web应用</x:v>
      </x:c>
    </x:row>
    <x:row r="6">
      <x:c r="A6" s="37" t="str">
        <x:v>前端框架</x:v>
      </x:c>
      <x:c r="B6" s="38" t="str">
        <x:v>React（要求TypeScript+Vite）</x:v>
      </x:c>
    </x:row>
    <x:row r="7">
      <x:c r="A7" s="37" t="str">
        <x:v>后端框架</x:v>
      </x:c>
      <x:c r="B7" s="38" t="str">
        <x:v>FastAPI</x:v>
      </x:c>
    </x:row>
    <x:row r="8">
      <x:c r="A8" s="37" t="str">
        <x:v>数据库</x:v>
      </x:c>
      <x:c r="B8" s="38" t="str">
        <x:v>SQLite（持久化卷；预留PostgreSQL迁移）</x:v>
      </x:c>
    </x:row>
    <x:row r="9">
      <x:c r="A9" s="37" t="str">
        <x:v>参赛类型</x:v>
      </x:c>
      <x:c r="B9" s="38" t="str">
        <x:v>H5互动产品</x:v>
      </x:c>
    </x:row>
    <x:row r="10">
      <x:c r="A10" s="39" t="str">
        <x:v>技术描述</x:v>
      </x:c>
      <x:c r="B10" s="40" t="str">
        <x:v>响应式PWA全栈应用，含可降级WebAR增强</x:v>
      </x:c>
    </x:row>
    <x:row r="12" ht="28" customHeight="1">
      <x:c r="A12" s="83" t="str">
        <x:v>一句话项目描述</x:v>
      </x:c>
    </x:row>
    <x:row r="13" ht="110" customHeight="1">
      <x:c r="A13" s="88" t="str">
        <x:v>构建一款移动优先、可安装的React H5/PWA《曙光坐标·5800：红山—牛河梁文明交互志》：以“文明长卷”系统讲清辽西环境、文化序列、生产生活、工艺玉器、礼仪建筑、社会复杂化、考古发现与当代保护，以“证据实验室”通过双层时间轴、九台关系图、女神庙证据镜片、66墓矩阵、2013—2026调查对比和第十三地点剖面让用户收集可追溯证据，最终生成个人文明坐标报告；FastAPI+SQLite管理内容、来源、版本和匿名进度，支持离线、无障碍、二维码分享，AR仅作可降级3D增强。</x:v>
      </x:c>
    </x:row>
    <x:row r="19" ht="28" customHeight="1">
      <x:c r="A19" s="83" t="str">
        <x:v>强制约束（粘贴到功能要求末尾）</x:v>
      </x:c>
    </x:row>
    <x:row r="20" ht="28" customHeight="1">
      <x:c r="A20" s="29" t="str">
        <x:v>1. 先输出路由、信息架构、数据库schema、组件树和P0验收，再编码。</x:v>
      </x:c>
      <x:c r="B20" s="48"/>
      <x:c r="C20" s="48"/>
      <x:c r="D20" s="48"/>
      <x:c r="E20" s="48"/>
      <x:c r="F20" s="30"/>
    </x:row>
    <x:row r="21" ht="28" customHeight="1">
      <x:c r="A21" s="31" t="str">
        <x:v>2. 所有历史内容从SQLite/API读取；核心事实不得散落硬编码。</x:v>
      </x:c>
      <x:c r="B21" s="49"/>
      <x:c r="C21" s="49"/>
      <x:c r="D21" s="49"/>
      <x:c r="E21" s="49"/>
      <x:c r="F21" s="32"/>
    </x:row>
    <x:row r="22" ht="28" customHeight="1">
      <x:c r="A22" s="31" t="str">
        <x:v>3. 每条claim必须有evidence_class、source_id、required_qualifier和last_verified_at。</x:v>
      </x:c>
      <x:c r="B22" s="49"/>
      <x:c r="C22" s="49"/>
      <x:c r="D22" s="49"/>
      <x:c r="E22" s="49"/>
      <x:c r="F22" s="32"/>
    </x:row>
    <x:row r="23" ht="28" customHeight="1">
      <x:c r="A23" s="31" t="str">
        <x:v>4. preliminary事实缺限定词、来源为空或rights_status非cleared时阻止发布。</x:v>
      </x:c>
      <x:c r="B23" s="49"/>
      <x:c r="C23" s="49"/>
      <x:c r="D23" s="49"/>
      <x:c r="E23" s="49"/>
      <x:c r="F23" s="32"/>
    </x:row>
    <x:row r="24" ht="28" customHeight="1">
      <x:c r="A24" s="31" t="str">
        <x:v>5. 先完成文明长卷与证据实验室P0闭环、静态SVG降级，再做3D/AR。</x:v>
      </x:c>
      <x:c r="B24" s="49"/>
      <x:c r="C24" s="49"/>
      <x:c r="D24" s="49"/>
      <x:c r="E24" s="49"/>
      <x:c r="F24" s="32"/>
    </x:row>
    <x:row r="25" ht="28" customHeight="1">
      <x:c r="A25" s="31" t="str">
        <x:v>6. 拒绝相机、无WebGL、后端离线、网络中断均不得白屏或中断核心体验。</x:v>
      </x:c>
      <x:c r="B25" s="49"/>
      <x:c r="C25" s="49"/>
      <x:c r="D25" s="49"/>
      <x:c r="E25" s="49"/>
      <x:c r="F25" s="32"/>
    </x:row>
    <x:row r="26" ht="28" customHeight="1">
      <x:c r="A26" s="33" t="str">
        <x:v>7. 输出README、种子数据、测试、部署说明、备份与内容更新流程。</x:v>
      </x:c>
      <x:c r="B26" s="50"/>
      <x:c r="C26" s="50"/>
      <x:c r="D26" s="50"/>
      <x:c r="E26" s="50"/>
      <x:c r="F26" s="34"/>
    </x:row>
  </x:sheetData>
  <x:mergeCells>
    <x:mergeCell ref="A1:F1"/>
    <x:mergeCell ref="A2:F2"/>
    <x:mergeCell ref="A12:F12"/>
    <x:mergeCell ref="A13:F17"/>
    <x:mergeCell ref="A19:F19"/>
    <x:mergeCell ref="A20:F20"/>
    <x:mergeCell ref="A21:F21"/>
    <x:mergeCell ref="A22:F22"/>
    <x:mergeCell ref="A23:F23"/>
    <x:mergeCell ref="A24:F24"/>
    <x:mergeCell ref="A25:F25"/>
    <x:mergeCell ref="A26:F26"/>
  </x:mergeCells>
  <x:pageMargins left="0.7" right="0.7" top="0.75" bottom="0.75" header="0.3" footer="0.3"/>
</x:worksheet>
</file>